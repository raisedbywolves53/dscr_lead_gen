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er-Lead P&amp;L" sheetId="2" state="visible" r:id="rId4"/>
    <sheet name="Subscription P&amp;L" sheetId="3" state="visible" r:id="rId5"/>
    <sheet name="Model 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<sst xmlns="http://schemas.openxmlformats.org/spreadsheetml/2006/main" count="185" uniqueCount="163">
  <si>
    <t xml:space="preserve">DSCR LEAD INTELLIGENCE — MODEL ASSUMPTIONS</t>
  </si>
  <si>
    <t xml:space="preserve">South Florida Pilot (Palm Beach + Broward Counties)</t>
  </si>
  <si>
    <t xml:space="preserve">All blue values are editable inputs. Black values are calculated.</t>
  </si>
  <si>
    <t xml:space="preserve">MARKET DATA</t>
  </si>
  <si>
    <t xml:space="preserve">Total FL leads in pipeline</t>
  </si>
  <si>
    <t xml:space="preserve">Source: merged_enriched.csv (Steps 01-08 complete)</t>
  </si>
  <si>
    <t xml:space="preserve">Skip trace matches (Tracerfy)</t>
  </si>
  <si>
    <t xml:space="preserve">45% match rate, $57.60 spent</t>
  </si>
  <si>
    <t xml:space="preserve">Tier 1 leads (score 50+)</t>
  </si>
  <si>
    <t xml:space="preserve">~10-15% of total per ICP Playbook</t>
  </si>
  <si>
    <t xml:space="preserve">Tier 2 leads (score 30-49)</t>
  </si>
  <si>
    <t xml:space="preserve">~25-35% of total per ICP Playbook</t>
  </si>
  <si>
    <t xml:space="preserve">Tier 3 leads (score 15-29)</t>
  </si>
  <si>
    <t xml:space="preserve">~20-30% of total</t>
  </si>
  <si>
    <t xml:space="preserve">Avg DSCR loan size</t>
  </si>
  <si>
    <t xml:space="preserve">Source: Market research 04_market_sizing_macro.md</t>
  </si>
  <si>
    <t xml:space="preserve">LO commission rate</t>
  </si>
  <si>
    <t xml:space="preserve">1% origination fee standard</t>
  </si>
  <si>
    <t xml:space="preserve">LO commission per close ($)</t>
  </si>
  <si>
    <t xml:space="preserve">FL share of national DSCR volume</t>
  </si>
  <si>
    <t xml:space="preserve">18-22% per research</t>
  </si>
  <si>
    <t xml:space="preserve">COST OF GOODS SOLD (PER LEAD)</t>
  </si>
  <si>
    <t xml:space="preserve">Property data (FDOR/state records)</t>
  </si>
  <si>
    <t xml:space="preserve">Free public records</t>
  </si>
  <si>
    <t xml:space="preserve">Skip trace (Tracerfy @ $0.02/match, 45% rate)</t>
  </si>
  <si>
    <t xml:space="preserve">$0.02 × 0.45 match rate = $0.009 effective</t>
  </si>
  <si>
    <t xml:space="preserve">Email validation (MillionVerifier)</t>
  </si>
  <si>
    <t xml:space="preserve">$4.90/2,000 credits</t>
  </si>
  <si>
    <t xml:space="preserve">Phone validation (Twilio v2)</t>
  </si>
  <si>
    <t xml:space="preserve">$0.008/lookup</t>
  </si>
  <si>
    <t xml:space="preserve">DNC scrub (FTC registry)</t>
  </si>
  <si>
    <t xml:space="preserve">Free for first 5 area codes</t>
  </si>
  <si>
    <t xml:space="preserve">ATTOM mortgage enrichment</t>
  </si>
  <si>
    <t xml:space="preserve">Using 1,000 free trial credits</t>
  </si>
  <si>
    <t xml:space="preserve">TOTAL COGS PER LEAD</t>
  </si>
  <si>
    <t xml:space="preserve">MONTHLY FIXED COSTS</t>
  </si>
  <si>
    <t xml:space="preserve">Claude Max subscription</t>
  </si>
  <si>
    <t xml:space="preserve">AI development tool</t>
  </si>
  <si>
    <t xml:space="preserve">ATTOM API (post-trial)</t>
  </si>
  <si>
    <t xml:space="preserve">$95/mo starter tier — $0 during trial</t>
  </si>
  <si>
    <t xml:space="preserve">Twilio monthly</t>
  </si>
  <si>
    <t xml:space="preserve">Variable ~$15</t>
  </si>
  <si>
    <t xml:space="preserve">MillionVerifier top-ups</t>
  </si>
  <si>
    <t xml:space="preserve">~$4.90/2K credits as needed</t>
  </si>
  <si>
    <t xml:space="preserve">DNC/compliance</t>
  </si>
  <si>
    <t xml:space="preserve">FTC re-scrub every 31 days</t>
  </si>
  <si>
    <t xml:space="preserve">Sending domain + email warmup</t>
  </si>
  <si>
    <t xml:space="preserve">Instantly.ai or equivalent</t>
  </si>
  <si>
    <t xml:space="preserve">Hosting/tools (GitHub, compute)</t>
  </si>
  <si>
    <t xml:space="preserve">Minimal</t>
  </si>
  <si>
    <t xml:space="preserve">TOTAL MONTHLY FIXED COSTS</t>
  </si>
  <si>
    <t xml:space="preserve">ATTOM CREDIT ALLOCATION</t>
  </si>
  <si>
    <t xml:space="preserve">Total ATTOM credits available</t>
  </si>
  <si>
    <t xml:space="preserve">New key from Christine (b9fac048...)</t>
  </si>
  <si>
    <t xml:space="preserve">Allocated to PB+Broward Tier 1</t>
  </si>
  <si>
    <t xml:space="preserve">Top-scored leads from 7,537 pipeline</t>
  </si>
  <si>
    <t xml:space="preserve">Allocated to PB+Broward Tier 2</t>
  </si>
  <si>
    <t xml:space="preserve">Secondary prospects</t>
  </si>
  <si>
    <t xml:space="preserve">Reserve (demos, troubleshooting)</t>
  </si>
  <si>
    <t xml:space="preserve">Do NOT burn all at once</t>
  </si>
  <si>
    <t xml:space="preserve">Expected match rate</t>
  </si>
  <si>
    <t xml:space="preserve">65% based on 26/33 NC test (79%) adjusted conservatively</t>
  </si>
  <si>
    <t xml:space="preserve">Expected enriched leads</t>
  </si>
  <si>
    <t xml:space="preserve">MODEL A: PER-LEAD PRICING — 12-MONTH P&amp;L PROJECTION</t>
  </si>
  <si>
    <t xml:space="preserve">Based on project docs: Semi-Enriched $15/$10, Full Dossier $100/$60, volume discounts 5% increments</t>
  </si>
  <si>
    <t xml:space="preserve">PRICING INPUTS</t>
  </si>
  <si>
    <t xml:space="preserve">Semi-Enriched Tier 1 (per lead)</t>
  </si>
  <si>
    <t xml:space="preserve">Semi-Enriched Tier 2 (per lead)</t>
  </si>
  <si>
    <t xml:space="preserve">Full Dossier Tier 1 (per lead)</t>
  </si>
  <si>
    <t xml:space="preserve">Full Dossier Tier 2 (per lead)</t>
  </si>
  <si>
    <t xml:space="preserve">Avg volume discount applied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</si>
  <si>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</si>
  <si>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</si>
  <si>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</si>
  <si>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</si>
  <si>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</si>
  <si>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</si>
  <si>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</si>
  <si>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</si>
  <si>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</si>
  <si>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</si>
  <si>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</si>
  <si>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</si>
  <si>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CUSTOMERS (LO)</t>
  </si>
  <si>
    <t xml:space="preserve">LO customers buying Semi-Enriched</t>
  </si>
  <si>
    <t xml:space="preserve">  Avg leads/order (semi)</t>
  </si>
  <si>
    <t xml:space="preserve">LO customers buying Full Dossier</t>
  </si>
  <si>
    <t xml:space="preserve">  Avg leads/order (dossier)</t>
  </si>
  <si>
    <t xml:space="preserve">CUSTOMERS (BRANCH MGR)</t>
  </si>
  <si>
    <t xml:space="preserve">Branch mgr customers</t>
  </si>
  <si>
    <t xml:space="preserve">  Avg leads/order</t>
  </si>
  <si>
    <t xml:space="preserve">  Product mix (% dossier)</t>
  </si>
  <si>
    <t xml:space="preserve">CUSTOMERS (RE AGENT)</t>
  </si>
  <si>
    <t xml:space="preserve">Agent customers (Semi only)</t>
  </si>
  <si>
    <t xml:space="preserve">CUSTOMERS (RE BROKER)</t>
  </si>
  <si>
    <t xml:space="preserve">Broker customers</t>
  </si>
  <si>
    <t xml:space="preserve">REVENUE CALCULATIONS</t>
  </si>
  <si>
    <t xml:space="preserve">LO Semi-Enriched revenue</t>
  </si>
  <si>
    <t xml:space="preserve">LO Full Dossier revenue</t>
  </si>
  <si>
    <t xml:space="preserve">Branch Mgr revenue</t>
  </si>
  <si>
    <t xml:space="preserve">Agent revenue (Tier 2 semi)</t>
  </si>
  <si>
    <t xml:space="preserve">Broker revenue (Tier 2 semi)</t>
  </si>
  <si>
    <t xml:space="preserve">TOTAL REVENUE</t>
  </si>
  <si>
    <t xml:space="preserve">Total leads sold</t>
  </si>
  <si>
    <t xml:space="preserve">COGS (leads × per-lead cost)</t>
  </si>
  <si>
    <t xml:space="preserve">Fixed costs (monthly)</t>
  </si>
  <si>
    <t xml:space="preserve">NET PROFIT</t>
  </si>
  <si>
    <t xml:space="preserve">Net Margin</t>
  </si>
  <si>
    <t xml:space="preserve">CUMULATIVE NET PROFIT</t>
  </si>
  <si>
    <t xml:space="preserve">MODEL B: SUBSCRIPTION PRICING — 12-MONTH P&amp;L PROJECTION</t>
  </si>
  <si>
    <t xml:space="preserve">Monthly subscription tiers by ICP. Blue values are editable.</t>
  </si>
  <si>
    <t xml:space="preserve">SUBSCRIPTION PRICING</t>
  </si>
  <si>
    <t xml:space="preserve">LO Starter (25 leads/mo)</t>
  </si>
  <si>
    <t xml:space="preserve">LO Growth (50 leads/mo)</t>
  </si>
  <si>
    <t xml:space="preserve">Branch Manager (150 leads/mo)</t>
  </si>
  <si>
    <t xml:space="preserve">Agent Starter (25 leads/mo)</t>
  </si>
  <si>
    <t xml:space="preserve">Agent Growth (50 leads/mo)</t>
  </si>
  <si>
    <t xml:space="preserve">Broker Office (100 leads/mo)</t>
  </si>
  <si>
    <t xml:space="preserve">LO Starter subscribers</t>
  </si>
  <si>
    <t xml:space="preserve">LO Growth subscribers</t>
  </si>
  <si>
    <t xml:space="preserve">Branch Mgr subscribers</t>
  </si>
  <si>
    <t xml:space="preserve">Agent Starter subscribers</t>
  </si>
  <si>
    <t xml:space="preserve">Agent Growth subscribers</t>
  </si>
  <si>
    <t xml:space="preserve">Broker subscribers</t>
  </si>
  <si>
    <t xml:space="preserve">REVENUE</t>
  </si>
  <si>
    <t xml:space="preserve">LO Starter revenue</t>
  </si>
  <si>
    <t xml:space="preserve">LO Growth revenue</t>
  </si>
  <si>
    <t xml:space="preserve">Agent Starter revenue</t>
  </si>
  <si>
    <t xml:space="preserve">Agent Growth revenue</t>
  </si>
  <si>
    <t xml:space="preserve">Broker revenue</t>
  </si>
  <si>
    <t xml:space="preserve">Total leads delivered</t>
  </si>
  <si>
    <t xml:space="preserve">PRICING MODEL COMPARISON — YEAR 1 SUMMARY</t>
  </si>
  <si>
    <t xml:space="preserve">Metric</t>
  </si>
  <si>
    <t xml:space="preserve">Per-Lead Model</t>
  </si>
  <si>
    <t xml:space="preserve">Subscription Model</t>
  </si>
  <si>
    <t xml:space="preserve">Notes</t>
  </si>
  <si>
    <t xml:space="preserve">Year 1 Total Revenue</t>
  </si>
  <si>
    <t xml:space="preserve">Year 1 Total COGS</t>
  </si>
  <si>
    <t xml:space="preserve">Year 1 Fixed Costs</t>
  </si>
  <si>
    <t xml:space="preserve">Year 1 Net Profit</t>
  </si>
  <si>
    <t xml:space="preserve">Year 1 Net Margin</t>
  </si>
  <si>
    <t xml:space="preserve">Month 12 MRR</t>
  </si>
  <si>
    <t xml:space="preserve">Monthly recurring run rate</t>
  </si>
  <si>
    <t xml:space="preserve">Breakeven month</t>
  </si>
  <si>
    <t xml:space="preserve">Month where cumulative profit turns positive</t>
  </si>
  <si>
    <t xml:space="preserve">Total leads delivered (Year 1)</t>
  </si>
  <si>
    <t xml:space="preserve">Revenue per lead (avg)</t>
  </si>
  <si>
    <t xml:space="preserve">Blended average</t>
  </si>
  <si>
    <t xml:space="preserve">COGS per lead</t>
  </si>
  <si>
    <t xml:space="preserve">Same enrichment cost either way</t>
  </si>
  <si>
    <t xml:space="preserve">BUYER ROI ANALYSIS</t>
  </si>
  <si>
    <t xml:space="preserve">LO commission per close</t>
  </si>
  <si>
    <t xml:space="preserve">1% origination fee</t>
  </si>
  <si>
    <t xml:space="preserve">Leads needed to close 1 deal (est.)</t>
  </si>
  <si>
    <t xml:space="preserve">2% conversion rate assumption</t>
  </si>
  <si>
    <t xml:space="preserve">Cost of 50 leads (Semi @ $15)</t>
  </si>
  <si>
    <t xml:space="preserve">Per-lead model</t>
  </si>
  <si>
    <t xml:space="preserve">Cost of 50 leads (Subscription)</t>
  </si>
  <si>
    <t xml:space="preserve">2 months of LO Starter @ $500/mo</t>
  </si>
  <si>
    <t xml:space="preserve">ROI per closed deal (Per-Lead)</t>
  </si>
  <si>
    <t xml:space="preserve">Commission / lead cost</t>
  </si>
  <si>
    <t xml:space="preserve">ROI per closed deal (Subscription)</t>
  </si>
  <si>
    <t xml:space="preserve">Commission / subscription cost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</si>
</sst>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\$#,##0.0000"/>
    <numFmt numFmtId="168" formatCode="\$#,##0"/>
    <numFmt numFmtId="169" formatCode="0%"/>
    <numFmt numFmtId="170" formatCode="\$#,##0;&quot;($&quot;#,##0\);\-"/>
    <numFmt numFmtId="171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F72"/>
      <name val="Arial"/>
      <family val="0"/>
      <charset val="1"/>
    </font>
    <font>
      <i val="true"/>
      <sz val="11"/>
      <color rgb="FF5D6D7E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5D6D7E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FFF00"/>
        <bgColor rgb="FFFFFF00"/>
      </patternFill>
    </fill>
    <fill>
      <patternFill patternType="solid">
        <fgColor rgb="FF1B4F7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  <c r="C5" s="5"/>
      <c r="D5" s="5"/>
    </row>
    <row r="6" customFormat="false" ht="15" hidden="false" customHeight="false" outlineLevel="0" collapsed="false">
      <c r="A6" s="6" t="s">
        <v>4</v>
      </c>
      <c r="B6" s="7" t="n">
        <v>7537</v>
      </c>
      <c r="C6" s="8"/>
      <c r="D6" s="9" t="s">
        <v>5</v>
      </c>
    </row>
    <row r="7" customFormat="false" ht="15" hidden="false" customHeight="false" outlineLevel="0" collapsed="false">
      <c r="A7" s="6" t="s">
        <v>6</v>
      </c>
      <c r="B7" s="7" t="n">
        <v>2880</v>
      </c>
      <c r="C7" s="8"/>
      <c r="D7" s="9" t="s">
        <v>7</v>
      </c>
    </row>
    <row r="8" customFormat="false" ht="15" hidden="false" customHeight="false" outlineLevel="0" collapsed="false">
      <c r="A8" s="6" t="s">
        <v>8</v>
      </c>
      <c r="B8" s="6"/>
      <c r="C8" s="10" t="n">
        <f aca="false">ROUND(B6*0.12,0)</f>
        <v>904</v>
      </c>
      <c r="D8" s="9" t="s">
        <v>9</v>
      </c>
    </row>
    <row r="9" customFormat="false" ht="15" hidden="false" customHeight="false" outlineLevel="0" collapsed="false">
      <c r="A9" s="6" t="s">
        <v>10</v>
      </c>
      <c r="B9" s="6"/>
      <c r="C9" s="10" t="n">
        <f aca="false">ROUND(B6*0.3,0)</f>
        <v>2261</v>
      </c>
      <c r="D9" s="9" t="s">
        <v>11</v>
      </c>
    </row>
    <row r="10" customFormat="false" ht="15" hidden="false" customHeight="false" outlineLevel="0" collapsed="false">
      <c r="A10" s="6" t="s">
        <v>12</v>
      </c>
      <c r="B10" s="6"/>
      <c r="C10" s="10" t="n">
        <f aca="false">ROUND(B6*0.25,0)</f>
        <v>1884</v>
      </c>
      <c r="D10" s="9" t="s">
        <v>13</v>
      </c>
    </row>
    <row r="11" customFormat="false" ht="15" hidden="false" customHeight="false" outlineLevel="0" collapsed="false">
      <c r="A11" s="6" t="s">
        <v>14</v>
      </c>
      <c r="B11" s="7" t="n">
        <v>385000</v>
      </c>
      <c r="C11" s="8"/>
      <c r="D11" s="9" t="s">
        <v>15</v>
      </c>
    </row>
    <row r="12" customFormat="false" ht="15" hidden="false" customHeight="false" outlineLevel="0" collapsed="false">
      <c r="A12" s="6" t="s">
        <v>16</v>
      </c>
      <c r="B12" s="11" t="n">
        <v>0.01</v>
      </c>
      <c r="C12" s="8"/>
      <c r="D12" s="9" t="s">
        <v>17</v>
      </c>
    </row>
    <row r="13" customFormat="false" ht="15" hidden="false" customHeight="false" outlineLevel="0" collapsed="false">
      <c r="A13" s="6" t="s">
        <v>18</v>
      </c>
      <c r="B13" s="6"/>
      <c r="C13" s="10" t="n">
        <f aca="false">B11*B12</f>
        <v>3850</v>
      </c>
      <c r="D13" s="9"/>
    </row>
    <row r="14" customFormat="false" ht="15" hidden="false" customHeight="false" outlineLevel="0" collapsed="false">
      <c r="A14" s="6" t="s">
        <v>19</v>
      </c>
      <c r="B14" s="11" t="n">
        <v>0.2</v>
      </c>
      <c r="C14" s="8"/>
      <c r="D14" s="9" t="s">
        <v>20</v>
      </c>
    </row>
    <row r="16" customFormat="false" ht="15" hidden="false" customHeight="false" outlineLevel="0" collapsed="false">
      <c r="A16" s="4" t="s">
        <v>21</v>
      </c>
      <c r="B16" s="5"/>
      <c r="C16" s="5"/>
      <c r="D16" s="5"/>
    </row>
    <row r="17" customFormat="false" ht="15" hidden="false" customHeight="false" outlineLevel="0" collapsed="false">
      <c r="A17" s="6" t="s">
        <v>22</v>
      </c>
      <c r="B17" s="12" t="n">
        <v>0</v>
      </c>
      <c r="C17" s="8"/>
      <c r="D17" s="9" t="s">
        <v>23</v>
      </c>
    </row>
    <row r="18" customFormat="false" ht="15" hidden="false" customHeight="false" outlineLevel="0" collapsed="false">
      <c r="A18" s="6" t="s">
        <v>24</v>
      </c>
      <c r="B18" s="12" t="n">
        <v>0.009</v>
      </c>
      <c r="C18" s="8"/>
      <c r="D18" s="9" t="s">
        <v>25</v>
      </c>
    </row>
    <row r="19" customFormat="false" ht="15" hidden="false" customHeight="false" outlineLevel="0" collapsed="false">
      <c r="A19" s="6" t="s">
        <v>26</v>
      </c>
      <c r="B19" s="12" t="n">
        <v>0.0025</v>
      </c>
      <c r="C19" s="8"/>
      <c r="D19" s="9" t="s">
        <v>27</v>
      </c>
    </row>
    <row r="20" customFormat="false" ht="15" hidden="false" customHeight="false" outlineLevel="0" collapsed="false">
      <c r="A20" s="6" t="s">
        <v>28</v>
      </c>
      <c r="B20" s="12" t="n">
        <v>0.008</v>
      </c>
      <c r="C20" s="8"/>
      <c r="D20" s="9" t="s">
        <v>29</v>
      </c>
    </row>
    <row r="21" customFormat="false" ht="15" hidden="false" customHeight="false" outlineLevel="0" collapsed="false">
      <c r="A21" s="6" t="s">
        <v>30</v>
      </c>
      <c r="B21" s="12" t="n">
        <v>0</v>
      </c>
      <c r="C21" s="8"/>
      <c r="D21" s="9" t="s">
        <v>31</v>
      </c>
    </row>
    <row r="22" customFormat="false" ht="15" hidden="false" customHeight="false" outlineLevel="0" collapsed="false">
      <c r="A22" s="6" t="s">
        <v>32</v>
      </c>
      <c r="B22" s="12" t="n">
        <v>0</v>
      </c>
      <c r="C22" s="8"/>
      <c r="D22" s="9" t="s">
        <v>33</v>
      </c>
    </row>
    <row r="23" customFormat="false" ht="15" hidden="false" customHeight="false" outlineLevel="0" collapsed="false">
      <c r="A23" s="13" t="s">
        <v>34</v>
      </c>
      <c r="B23" s="14" t="n">
        <f aca="false">SUM(B17:B22)</f>
        <v>0.0195</v>
      </c>
      <c r="C23" s="15"/>
      <c r="D23" s="15"/>
    </row>
    <row r="25" customFormat="false" ht="15" hidden="false" customHeight="false" outlineLevel="0" collapsed="false">
      <c r="A25" s="4" t="s">
        <v>35</v>
      </c>
      <c r="B25" s="5"/>
      <c r="C25" s="5"/>
      <c r="D25" s="5"/>
    </row>
    <row r="26" customFormat="false" ht="15" hidden="false" customHeight="false" outlineLevel="0" collapsed="false">
      <c r="A26" s="6" t="s">
        <v>36</v>
      </c>
      <c r="B26" s="16" t="n">
        <v>200</v>
      </c>
      <c r="C26" s="8"/>
      <c r="D26" s="9" t="s">
        <v>37</v>
      </c>
    </row>
    <row r="27" customFormat="false" ht="15" hidden="false" customHeight="false" outlineLevel="0" collapsed="false">
      <c r="A27" s="6" t="s">
        <v>38</v>
      </c>
      <c r="B27" s="16" t="n">
        <v>95</v>
      </c>
      <c r="C27" s="8"/>
      <c r="D27" s="9" t="s">
        <v>39</v>
      </c>
    </row>
    <row r="28" customFormat="false" ht="15" hidden="false" customHeight="false" outlineLevel="0" collapsed="false">
      <c r="A28" s="6" t="s">
        <v>40</v>
      </c>
      <c r="B28" s="16" t="n">
        <v>15</v>
      </c>
      <c r="C28" s="8"/>
      <c r="D28" s="9" t="s">
        <v>41</v>
      </c>
    </row>
    <row r="29" customFormat="false" ht="15" hidden="false" customHeight="false" outlineLevel="0" collapsed="false">
      <c r="A29" s="6" t="s">
        <v>42</v>
      </c>
      <c r="B29" s="16" t="n">
        <v>5</v>
      </c>
      <c r="C29" s="8"/>
      <c r="D29" s="9" t="s">
        <v>43</v>
      </c>
    </row>
    <row r="30" customFormat="false" ht="15" hidden="false" customHeight="false" outlineLevel="0" collapsed="false">
      <c r="A30" s="6" t="s">
        <v>44</v>
      </c>
      <c r="B30" s="16" t="n">
        <v>40</v>
      </c>
      <c r="C30" s="8"/>
      <c r="D30" s="9" t="s">
        <v>45</v>
      </c>
    </row>
    <row r="31" customFormat="false" ht="15" hidden="false" customHeight="false" outlineLevel="0" collapsed="false">
      <c r="A31" s="6" t="s">
        <v>46</v>
      </c>
      <c r="B31" s="16" t="n">
        <v>35</v>
      </c>
      <c r="C31" s="8"/>
      <c r="D31" s="9" t="s">
        <v>47</v>
      </c>
    </row>
    <row r="32" customFormat="false" ht="15" hidden="false" customHeight="false" outlineLevel="0" collapsed="false">
      <c r="A32" s="6" t="s">
        <v>48</v>
      </c>
      <c r="B32" s="16" t="n">
        <v>10</v>
      </c>
      <c r="C32" s="8"/>
      <c r="D32" s="9" t="s">
        <v>49</v>
      </c>
    </row>
    <row r="33" customFormat="false" ht="15" hidden="false" customHeight="false" outlineLevel="0" collapsed="false">
      <c r="A33" s="13" t="s">
        <v>50</v>
      </c>
      <c r="B33" s="17" t="n">
        <f aca="false">SUM(B26:B32)</f>
        <v>400</v>
      </c>
      <c r="C33" s="15"/>
      <c r="D33" s="15"/>
    </row>
    <row r="35" customFormat="false" ht="15" hidden="false" customHeight="false" outlineLevel="0" collapsed="false">
      <c r="A35" s="4" t="s">
        <v>51</v>
      </c>
      <c r="B35" s="5"/>
      <c r="C35" s="5"/>
      <c r="D35" s="5"/>
    </row>
    <row r="36" customFormat="false" ht="15" hidden="false" customHeight="false" outlineLevel="0" collapsed="false">
      <c r="A36" s="6" t="s">
        <v>52</v>
      </c>
      <c r="B36" s="7" t="n">
        <v>1000</v>
      </c>
      <c r="C36" s="8"/>
      <c r="D36" s="9" t="s">
        <v>53</v>
      </c>
    </row>
    <row r="37" customFormat="false" ht="15" hidden="false" customHeight="false" outlineLevel="0" collapsed="false">
      <c r="A37" s="6" t="s">
        <v>54</v>
      </c>
      <c r="B37" s="7" t="n">
        <v>500</v>
      </c>
      <c r="C37" s="8"/>
      <c r="D37" s="9" t="s">
        <v>55</v>
      </c>
    </row>
    <row r="38" customFormat="false" ht="15" hidden="false" customHeight="false" outlineLevel="0" collapsed="false">
      <c r="A38" s="6" t="s">
        <v>56</v>
      </c>
      <c r="B38" s="7" t="n">
        <v>250</v>
      </c>
      <c r="C38" s="8"/>
      <c r="D38" s="9" t="s">
        <v>57</v>
      </c>
    </row>
    <row r="39" customFormat="false" ht="15" hidden="false" customHeight="false" outlineLevel="0" collapsed="false">
      <c r="A39" s="6" t="s">
        <v>58</v>
      </c>
      <c r="B39" s="7" t="n">
        <v>250</v>
      </c>
      <c r="C39" s="8"/>
      <c r="D39" s="9" t="s">
        <v>59</v>
      </c>
    </row>
    <row r="40" customFormat="false" ht="15" hidden="false" customHeight="false" outlineLevel="0" collapsed="false">
      <c r="A40" s="6" t="s">
        <v>60</v>
      </c>
      <c r="B40" s="11" t="n">
        <v>0.65</v>
      </c>
      <c r="C40" s="8"/>
      <c r="D40" s="9" t="s">
        <v>61</v>
      </c>
    </row>
    <row r="41" customFormat="false" ht="15" hidden="false" customHeight="false" outlineLevel="0" collapsed="false">
      <c r="A41" s="6" t="s">
        <v>62</v>
      </c>
      <c r="B41" s="7"/>
      <c r="C41" s="8"/>
      <c r="D41" s="9" t="n">
        <f aca="false">(B37+B38)*B40</f>
        <v>487.5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6"/>
  </cols>
  <sheetData>
    <row r="1" customFormat="false" ht="17.35" hidden="false" customHeight="fals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8" t="s">
        <v>64</v>
      </c>
    </row>
    <row r="4" customFormat="false" ht="15" hidden="false" customHeight="false" outlineLevel="0" collapsed="false">
      <c r="A4" s="4" t="s">
        <v>65</v>
      </c>
      <c r="B4" s="5"/>
      <c r="C4" s="5"/>
    </row>
    <row r="5" customFormat="false" ht="15" hidden="false" customHeight="false" outlineLevel="0" collapsed="false">
      <c r="A5" s="6" t="s">
        <v>66</v>
      </c>
      <c r="B5" s="19" t="n">
        <v>15</v>
      </c>
      <c r="C5" s="8"/>
    </row>
    <row r="6" customFormat="false" ht="15" hidden="false" customHeight="false" outlineLevel="0" collapsed="false">
      <c r="A6" s="6" t="s">
        <v>67</v>
      </c>
      <c r="B6" s="19" t="n">
        <v>10</v>
      </c>
      <c r="C6" s="8"/>
    </row>
    <row r="7" customFormat="false" ht="15" hidden="false" customHeight="false" outlineLevel="0" collapsed="false">
      <c r="A7" s="6" t="s">
        <v>68</v>
      </c>
      <c r="B7" s="19" t="n">
        <v>100</v>
      </c>
      <c r="C7" s="8"/>
    </row>
    <row r="8" customFormat="false" ht="15" hidden="false" customHeight="false" outlineLevel="0" collapsed="false">
      <c r="A8" s="6" t="s">
        <v>69</v>
      </c>
      <c r="B8" s="19" t="n">
        <v>60</v>
      </c>
      <c r="C8" s="8"/>
    </row>
    <row r="9" customFormat="false" ht="15" hidden="false" customHeight="false" outlineLevel="0" collapsed="false">
      <c r="A9" s="6" t="s">
        <v>70</v>
      </c>
      <c r="B9" s="20" t="n">
        <v>0.1</v>
      </c>
      <c r="C9" s="8"/>
    </row>
    <row r="11" customFormat="false" ht="15" hidden="false" customHeight="false" outlineLevel="0" collapsed="false">
      <c r="A11" s="21"/>
      <c r="B11" s="22" t="s">
        <v>71</v>
      </c>
      <c r="C11" s="22" t="s">
        <v>72</v>
      </c>
      <c r="D11" s="22" t="s">
        <v>73</v>
      </c>
      <c r="E11" s="22" t="s">
        <v>74</v>
      </c>
      <c r="F11" s="22" t="s">
        <v>75</v>
      </c>
      <c r="G11" s="22" t="s">
        <v>76</v>
      </c>
      <c r="H11" s="22" t="s">
        <v>77</v>
      </c>
      <c r="I11" s="22" t="s">
        <v>78</v>
      </c>
      <c r="J11" s="22" t="s">
        <v>79</v>
      </c>
      <c r="K11" s="22" t="s">
        <v>80</v>
      </c>
      <c r="L11" s="22" t="s">
        <v>81</v>
      </c>
      <c r="M11" s="22" t="s">
        <v>82</v>
      </c>
    </row>
    <row r="12" customFormat="false" ht="15" hidden="false" customHeight="false" outlineLevel="0" collapsed="false">
      <c r="A12" s="4" t="s">
        <v>83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customFormat="false" ht="15" hidden="false" customHeight="false" outlineLevel="0" collapsed="false">
      <c r="A13" s="6" t="s">
        <v>84</v>
      </c>
      <c r="B13" s="23" t="n">
        <v>1</v>
      </c>
      <c r="C13" s="23" t="n">
        <v>2</v>
      </c>
      <c r="D13" s="23" t="n">
        <v>3</v>
      </c>
      <c r="E13" s="23" t="n">
        <v>4</v>
      </c>
      <c r="F13" s="23" t="n">
        <v>5</v>
      </c>
      <c r="G13" s="23" t="n">
        <v>5</v>
      </c>
      <c r="H13" s="23" t="n">
        <v>6</v>
      </c>
      <c r="I13" s="23" t="n">
        <v>7</v>
      </c>
      <c r="J13" s="23" t="n">
        <v>8</v>
      </c>
      <c r="K13" s="23" t="n">
        <v>8</v>
      </c>
      <c r="L13" s="23" t="n">
        <v>10</v>
      </c>
      <c r="M13" s="23" t="n">
        <v>10</v>
      </c>
    </row>
    <row r="14" customFormat="false" ht="15" hidden="false" customHeight="false" outlineLevel="0" collapsed="false">
      <c r="A14" s="6" t="s">
        <v>85</v>
      </c>
      <c r="B14" s="23" t="n">
        <v>25</v>
      </c>
      <c r="C14" s="23" t="n">
        <v>25</v>
      </c>
      <c r="D14" s="23" t="n">
        <v>30</v>
      </c>
      <c r="E14" s="23" t="n">
        <v>30</v>
      </c>
      <c r="F14" s="23" t="n">
        <v>35</v>
      </c>
      <c r="G14" s="23" t="n">
        <v>35</v>
      </c>
      <c r="H14" s="23" t="n">
        <v>40</v>
      </c>
      <c r="I14" s="23" t="n">
        <v>40</v>
      </c>
      <c r="J14" s="23" t="n">
        <v>40</v>
      </c>
      <c r="K14" s="23" t="n">
        <v>50</v>
      </c>
      <c r="L14" s="23" t="n">
        <v>50</v>
      </c>
      <c r="M14" s="23" t="n">
        <v>50</v>
      </c>
    </row>
    <row r="15" customFormat="false" ht="15" hidden="false" customHeight="false" outlineLevel="0" collapsed="false">
      <c r="A15" s="6" t="s">
        <v>86</v>
      </c>
      <c r="B15" s="23" t="n">
        <v>0</v>
      </c>
      <c r="C15" s="23" t="n">
        <v>1</v>
      </c>
      <c r="D15" s="23" t="n">
        <v>1</v>
      </c>
      <c r="E15" s="23" t="n">
        <v>2</v>
      </c>
      <c r="F15" s="23" t="n">
        <v>2</v>
      </c>
      <c r="G15" s="23" t="n">
        <v>3</v>
      </c>
      <c r="H15" s="23" t="n">
        <v>3</v>
      </c>
      <c r="I15" s="23" t="n">
        <v>4</v>
      </c>
      <c r="J15" s="23" t="n">
        <v>4</v>
      </c>
      <c r="K15" s="23" t="n">
        <v>5</v>
      </c>
      <c r="L15" s="23" t="n">
        <v>5</v>
      </c>
      <c r="M15" s="23" t="n">
        <v>6</v>
      </c>
    </row>
    <row r="16" customFormat="false" ht="15" hidden="false" customHeight="false" outlineLevel="0" collapsed="false">
      <c r="A16" s="6" t="s">
        <v>87</v>
      </c>
      <c r="B16" s="23" t="n">
        <v>0</v>
      </c>
      <c r="C16" s="23" t="n">
        <v>5</v>
      </c>
      <c r="D16" s="23" t="n">
        <v>8</v>
      </c>
      <c r="E16" s="23" t="n">
        <v>8</v>
      </c>
      <c r="F16" s="23" t="n">
        <v>10</v>
      </c>
      <c r="G16" s="23" t="n">
        <v>10</v>
      </c>
      <c r="H16" s="23" t="n">
        <v>10</v>
      </c>
      <c r="I16" s="23" t="n">
        <v>12</v>
      </c>
      <c r="J16" s="23" t="n">
        <v>12</v>
      </c>
      <c r="K16" s="23" t="n">
        <v>12</v>
      </c>
      <c r="L16" s="23" t="n">
        <v>15</v>
      </c>
      <c r="M16" s="23" t="n">
        <v>15</v>
      </c>
    </row>
    <row r="17" customFormat="false" ht="15" hidden="false" customHeight="false" outlineLevel="0" collapsed="false">
      <c r="A17" s="4" t="s">
        <v>88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15" hidden="false" customHeight="false" outlineLevel="0" collapsed="false">
      <c r="A18" s="6" t="s">
        <v>89</v>
      </c>
      <c r="B18" s="23" t="n">
        <v>0</v>
      </c>
      <c r="C18" s="23" t="n">
        <v>0</v>
      </c>
      <c r="D18" s="23" t="n">
        <v>0</v>
      </c>
      <c r="E18" s="23" t="n">
        <v>0</v>
      </c>
      <c r="F18" s="23" t="n">
        <v>1</v>
      </c>
      <c r="G18" s="23" t="n">
        <v>1</v>
      </c>
      <c r="H18" s="23" t="n">
        <v>1</v>
      </c>
      <c r="I18" s="23" t="n">
        <v>2</v>
      </c>
      <c r="J18" s="23" t="n">
        <v>2</v>
      </c>
      <c r="K18" s="23" t="n">
        <v>2</v>
      </c>
      <c r="L18" s="23" t="n">
        <v>3</v>
      </c>
      <c r="M18" s="23" t="n">
        <v>3</v>
      </c>
    </row>
    <row r="19" customFormat="false" ht="15" hidden="false" customHeight="false" outlineLevel="0" collapsed="false">
      <c r="A19" s="6" t="s">
        <v>90</v>
      </c>
      <c r="B19" s="23" t="n">
        <v>0</v>
      </c>
      <c r="C19" s="23" t="n">
        <v>0</v>
      </c>
      <c r="D19" s="23" t="n">
        <v>0</v>
      </c>
      <c r="E19" s="23" t="n">
        <v>0</v>
      </c>
      <c r="F19" s="23" t="n">
        <v>100</v>
      </c>
      <c r="G19" s="23" t="n">
        <v>100</v>
      </c>
      <c r="H19" s="23" t="n">
        <v>120</v>
      </c>
      <c r="I19" s="23" t="n">
        <v>120</v>
      </c>
      <c r="J19" s="23" t="n">
        <v>150</v>
      </c>
      <c r="K19" s="23" t="n">
        <v>150</v>
      </c>
      <c r="L19" s="23" t="n">
        <v>150</v>
      </c>
      <c r="M19" s="23" t="n">
        <v>150</v>
      </c>
    </row>
    <row r="20" customFormat="false" ht="15" hidden="false" customHeight="false" outlineLevel="0" collapsed="false">
      <c r="A20" s="6" t="s">
        <v>91</v>
      </c>
      <c r="B20" s="23" t="n">
        <v>0</v>
      </c>
      <c r="C20" s="23" t="n">
        <v>0</v>
      </c>
      <c r="D20" s="23" t="n">
        <v>0</v>
      </c>
      <c r="E20" s="23" t="n">
        <v>0</v>
      </c>
      <c r="F20" s="24" t="n">
        <v>0.2</v>
      </c>
      <c r="G20" s="24" t="n">
        <v>0.2</v>
      </c>
      <c r="H20" s="24" t="n">
        <v>0.2</v>
      </c>
      <c r="I20" s="24" t="n">
        <v>0.25</v>
      </c>
      <c r="J20" s="24" t="n">
        <v>0.25</v>
      </c>
      <c r="K20" s="24" t="n">
        <v>0.25</v>
      </c>
      <c r="L20" s="24" t="n">
        <v>0.3</v>
      </c>
      <c r="M20" s="24" t="n">
        <v>0.3</v>
      </c>
    </row>
    <row r="21" customFormat="false" ht="15" hidden="false" customHeight="false" outlineLevel="0" collapsed="false">
      <c r="A21" s="4" t="s">
        <v>92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customFormat="false" ht="15" hidden="false" customHeight="false" outlineLevel="0" collapsed="false">
      <c r="A22" s="6" t="s">
        <v>93</v>
      </c>
      <c r="B22" s="23" t="n">
        <v>0</v>
      </c>
      <c r="C22" s="23" t="n">
        <v>0</v>
      </c>
      <c r="D22" s="23" t="n">
        <v>1</v>
      </c>
      <c r="E22" s="23" t="n">
        <v>2</v>
      </c>
      <c r="F22" s="23" t="n">
        <v>3</v>
      </c>
      <c r="G22" s="23" t="n">
        <v>4</v>
      </c>
      <c r="H22" s="23" t="n">
        <v>5</v>
      </c>
      <c r="I22" s="23" t="n">
        <v>5</v>
      </c>
      <c r="J22" s="23" t="n">
        <v>6</v>
      </c>
      <c r="K22" s="23" t="n">
        <v>7</v>
      </c>
      <c r="L22" s="23" t="n">
        <v>8</v>
      </c>
      <c r="M22" s="23" t="n">
        <v>10</v>
      </c>
    </row>
    <row r="23" customFormat="false" ht="15" hidden="false" customHeight="false" outlineLevel="0" collapsed="false">
      <c r="A23" s="6" t="s">
        <v>90</v>
      </c>
      <c r="B23" s="23" t="n">
        <v>0</v>
      </c>
      <c r="C23" s="23" t="n">
        <v>0</v>
      </c>
      <c r="D23" s="23" t="n">
        <v>25</v>
      </c>
      <c r="E23" s="23" t="n">
        <v>25</v>
      </c>
      <c r="F23" s="23" t="n">
        <v>25</v>
      </c>
      <c r="G23" s="23" t="n">
        <v>30</v>
      </c>
      <c r="H23" s="23" t="n">
        <v>30</v>
      </c>
      <c r="I23" s="23" t="n">
        <v>30</v>
      </c>
      <c r="J23" s="23" t="n">
        <v>35</v>
      </c>
      <c r="K23" s="23" t="n">
        <v>35</v>
      </c>
      <c r="L23" s="23" t="n">
        <v>40</v>
      </c>
      <c r="M23" s="23" t="n">
        <v>40</v>
      </c>
    </row>
    <row r="24" customFormat="false" ht="15" hidden="false" customHeight="false" outlineLevel="0" collapsed="false">
      <c r="A24" s="4" t="s">
        <v>94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customFormat="false" ht="15" hidden="false" customHeight="false" outlineLevel="0" collapsed="false">
      <c r="A25" s="6" t="s">
        <v>95</v>
      </c>
      <c r="B25" s="23" t="n">
        <v>0</v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1</v>
      </c>
      <c r="H25" s="23" t="n">
        <v>1</v>
      </c>
      <c r="I25" s="23" t="n">
        <v>1</v>
      </c>
      <c r="J25" s="23" t="n">
        <v>2</v>
      </c>
      <c r="K25" s="23" t="n">
        <v>2</v>
      </c>
      <c r="L25" s="23" t="n">
        <v>2</v>
      </c>
      <c r="M25" s="23" t="n">
        <v>3</v>
      </c>
    </row>
    <row r="26" customFormat="false" ht="15" hidden="false" customHeight="false" outlineLevel="0" collapsed="false">
      <c r="A26" s="6" t="s">
        <v>90</v>
      </c>
      <c r="B26" s="23" t="n">
        <v>0</v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75</v>
      </c>
      <c r="H26" s="23" t="n">
        <v>75</v>
      </c>
      <c r="I26" s="23" t="n">
        <v>100</v>
      </c>
      <c r="J26" s="23" t="n">
        <v>100</v>
      </c>
      <c r="K26" s="23" t="n">
        <v>100</v>
      </c>
      <c r="L26" s="23" t="n">
        <v>125</v>
      </c>
      <c r="M26" s="23" t="n">
        <v>125</v>
      </c>
    </row>
    <row r="28" customFormat="false" ht="15" hidden="false" customHeight="false" outlineLevel="0" collapsed="false">
      <c r="A28" s="4" t="s">
        <v>96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customFormat="false" ht="15" hidden="false" customHeight="false" outlineLevel="0" collapsed="false">
      <c r="A29" s="6" t="s">
        <v>97</v>
      </c>
      <c r="B29" s="25" t="n">
        <f aca="false">B12*B13*$B$5*(1-$B$9)</f>
        <v>0</v>
      </c>
      <c r="C29" s="25" t="n">
        <f aca="false">C12*C13*$B$5*(1-$B$9)</f>
        <v>0</v>
      </c>
      <c r="D29" s="25" t="n">
        <f aca="false">D12*D13*$B$5*(1-$B$9)</f>
        <v>0</v>
      </c>
      <c r="E29" s="25" t="n">
        <f aca="false">E12*E13*$B$5*(1-$B$9)</f>
        <v>0</v>
      </c>
      <c r="F29" s="25" t="n">
        <f aca="false">F12*F13*$B$5*(1-$B$9)</f>
        <v>0</v>
      </c>
      <c r="G29" s="25" t="n">
        <f aca="false">G12*G13*$B$5*(1-$B$9)</f>
        <v>0</v>
      </c>
      <c r="H29" s="25" t="n">
        <f aca="false">H12*H13*$B$5*(1-$B$9)</f>
        <v>0</v>
      </c>
      <c r="I29" s="25" t="n">
        <f aca="false">I12*I13*$B$5*(1-$B$9)</f>
        <v>0</v>
      </c>
      <c r="J29" s="25" t="n">
        <f aca="false">J12*J13*$B$5*(1-$B$9)</f>
        <v>0</v>
      </c>
      <c r="K29" s="25" t="n">
        <f aca="false">K12*K13*$B$5*(1-$B$9)</f>
        <v>0</v>
      </c>
      <c r="L29" s="25" t="n">
        <f aca="false">L12*L13*$B$5*(1-$B$9)</f>
        <v>0</v>
      </c>
      <c r="M29" s="25" t="n">
        <f aca="false">M12*M13*$B$5*(1-$B$9)</f>
        <v>0</v>
      </c>
    </row>
    <row r="30" customFormat="false" ht="15" hidden="false" customHeight="false" outlineLevel="0" collapsed="false">
      <c r="A30" s="6" t="s">
        <v>98</v>
      </c>
      <c r="B30" s="25" t="n">
        <f aca="false">B14*B15*$B$7*(1-$B$9)</f>
        <v>0</v>
      </c>
      <c r="C30" s="25" t="n">
        <f aca="false">C14*C15*$B$7*(1-$B$9)</f>
        <v>2250</v>
      </c>
      <c r="D30" s="25" t="n">
        <f aca="false">D14*D15*$B$7*(1-$B$9)</f>
        <v>2700</v>
      </c>
      <c r="E30" s="25" t="n">
        <f aca="false">E14*E15*$B$7*(1-$B$9)</f>
        <v>5400</v>
      </c>
      <c r="F30" s="25" t="n">
        <f aca="false">F14*F15*$B$7*(1-$B$9)</f>
        <v>6300</v>
      </c>
      <c r="G30" s="25" t="n">
        <f aca="false">G14*G15*$B$7*(1-$B$9)</f>
        <v>9450</v>
      </c>
      <c r="H30" s="25" t="n">
        <f aca="false">H14*H15*$B$7*(1-$B$9)</f>
        <v>10800</v>
      </c>
      <c r="I30" s="25" t="n">
        <f aca="false">I14*I15*$B$7*(1-$B$9)</f>
        <v>14400</v>
      </c>
      <c r="J30" s="25" t="n">
        <f aca="false">J14*J15*$B$7*(1-$B$9)</f>
        <v>14400</v>
      </c>
      <c r="K30" s="25" t="n">
        <f aca="false">K14*K15*$B$7*(1-$B$9)</f>
        <v>22500</v>
      </c>
      <c r="L30" s="25" t="n">
        <f aca="false">L14*L15*$B$7*(1-$B$9)</f>
        <v>22500</v>
      </c>
      <c r="M30" s="25" t="n">
        <f aca="false">M14*M15*$B$7*(1-$B$9)</f>
        <v>27000</v>
      </c>
    </row>
    <row r="31" customFormat="false" ht="15" hidden="false" customHeight="false" outlineLevel="0" collapsed="false">
      <c r="A31" s="6" t="s">
        <v>99</v>
      </c>
      <c r="B31" s="25" t="n">
        <f aca="false">B17*B18*((1-B19)*$B$5+B19*$B$7)*(1-$B$9)</f>
        <v>0</v>
      </c>
      <c r="C31" s="25" t="n">
        <f aca="false">C17*C18*((1-C19)*$B$5+C19*$B$7)*(1-$B$9)</f>
        <v>0</v>
      </c>
      <c r="D31" s="25" t="n">
        <f aca="false">D17*D18*((1-D19)*$B$5+D19*$B$7)*(1-$B$9)</f>
        <v>0</v>
      </c>
      <c r="E31" s="25" t="n">
        <f aca="false">E17*E18*((1-E19)*$B$5+E19*$B$7)*(1-$B$9)</f>
        <v>0</v>
      </c>
      <c r="F31" s="25" t="n">
        <f aca="false">F17*F18*((1-F19)*$B$5+F19*$B$7)*(1-$B$9)</f>
        <v>0</v>
      </c>
      <c r="G31" s="25" t="n">
        <f aca="false">G17*G18*((1-G19)*$B$5+G19*$B$7)*(1-$B$9)</f>
        <v>0</v>
      </c>
      <c r="H31" s="25" t="n">
        <f aca="false">H17*H18*((1-H19)*$B$5+H19*$B$7)*(1-$B$9)</f>
        <v>0</v>
      </c>
      <c r="I31" s="25" t="n">
        <f aca="false">I17*I18*((1-I19)*$B$5+I19*$B$7)*(1-$B$9)</f>
        <v>0</v>
      </c>
      <c r="J31" s="25" t="n">
        <f aca="false">J17*J18*((1-J19)*$B$5+J19*$B$7)*(1-$B$9)</f>
        <v>0</v>
      </c>
      <c r="K31" s="25" t="n">
        <f aca="false">K17*K18*((1-K19)*$B$5+K19*$B$7)*(1-$B$9)</f>
        <v>0</v>
      </c>
      <c r="L31" s="25" t="n">
        <f aca="false">L17*L18*((1-L19)*$B$5+L19*$B$7)*(1-$B$9)</f>
        <v>0</v>
      </c>
      <c r="M31" s="25" t="n">
        <f aca="false">M17*M18*((1-M19)*$B$5+M19*$B$7)*(1-$B$9)</f>
        <v>0</v>
      </c>
    </row>
    <row r="32" customFormat="false" ht="15" hidden="false" customHeight="false" outlineLevel="0" collapsed="false">
      <c r="A32" s="6" t="s">
        <v>100</v>
      </c>
      <c r="B32" s="25" t="n">
        <f aca="false">B21*B22*$B$6*(1-$B$9)</f>
        <v>0</v>
      </c>
      <c r="C32" s="25" t="n">
        <f aca="false">C21*C22*$B$6*(1-$B$9)</f>
        <v>0</v>
      </c>
      <c r="D32" s="25" t="n">
        <f aca="false">D21*D22*$B$6*(1-$B$9)</f>
        <v>0</v>
      </c>
      <c r="E32" s="25" t="n">
        <f aca="false">E21*E22*$B$6*(1-$B$9)</f>
        <v>0</v>
      </c>
      <c r="F32" s="25" t="n">
        <f aca="false">F21*F22*$B$6*(1-$B$9)</f>
        <v>0</v>
      </c>
      <c r="G32" s="25" t="n">
        <f aca="false">G21*G22*$B$6*(1-$B$9)</f>
        <v>0</v>
      </c>
      <c r="H32" s="25" t="n">
        <f aca="false">H21*H22*$B$6*(1-$B$9)</f>
        <v>0</v>
      </c>
      <c r="I32" s="25" t="n">
        <f aca="false">I21*I22*$B$6*(1-$B$9)</f>
        <v>0</v>
      </c>
      <c r="J32" s="25" t="n">
        <f aca="false">J21*J22*$B$6*(1-$B$9)</f>
        <v>0</v>
      </c>
      <c r="K32" s="25" t="n">
        <f aca="false">K21*K22*$B$6*(1-$B$9)</f>
        <v>0</v>
      </c>
      <c r="L32" s="25" t="n">
        <f aca="false">L21*L22*$B$6*(1-$B$9)</f>
        <v>0</v>
      </c>
      <c r="M32" s="25" t="n">
        <f aca="false">M21*M22*$B$6*(1-$B$9)</f>
        <v>0</v>
      </c>
    </row>
    <row r="33" customFormat="false" ht="15" hidden="false" customHeight="false" outlineLevel="0" collapsed="false">
      <c r="A33" s="6" t="s">
        <v>101</v>
      </c>
      <c r="B33" s="25" t="n">
        <f aca="false">B24*B25*$B$6*(1-$B$9)</f>
        <v>0</v>
      </c>
      <c r="C33" s="25" t="n">
        <f aca="false">C24*C25*$B$6*(1-$B$9)</f>
        <v>0</v>
      </c>
      <c r="D33" s="25" t="n">
        <f aca="false">D24*D25*$B$6*(1-$B$9)</f>
        <v>0</v>
      </c>
      <c r="E33" s="25" t="n">
        <f aca="false">E24*E25*$B$6*(1-$B$9)</f>
        <v>0</v>
      </c>
      <c r="F33" s="25" t="n">
        <f aca="false">F24*F25*$B$6*(1-$B$9)</f>
        <v>0</v>
      </c>
      <c r="G33" s="25" t="n">
        <f aca="false">G24*G25*$B$6*(1-$B$9)</f>
        <v>0</v>
      </c>
      <c r="H33" s="25" t="n">
        <f aca="false">H24*H25*$B$6*(1-$B$9)</f>
        <v>0</v>
      </c>
      <c r="I33" s="25" t="n">
        <f aca="false">I24*I25*$B$6*(1-$B$9)</f>
        <v>0</v>
      </c>
      <c r="J33" s="25" t="n">
        <f aca="false">J24*J25*$B$6*(1-$B$9)</f>
        <v>0</v>
      </c>
      <c r="K33" s="25" t="n">
        <f aca="false">K24*K25*$B$6*(1-$B$9)</f>
        <v>0</v>
      </c>
      <c r="L33" s="25" t="n">
        <f aca="false">L24*L25*$B$6*(1-$B$9)</f>
        <v>0</v>
      </c>
      <c r="M33" s="25" t="n">
        <f aca="false">M24*M25*$B$6*(1-$B$9)</f>
        <v>0</v>
      </c>
    </row>
    <row r="34" customFormat="false" ht="15" hidden="false" customHeight="false" outlineLevel="0" collapsed="false">
      <c r="A34" s="13" t="s">
        <v>102</v>
      </c>
      <c r="B34" s="26" t="n">
        <f aca="false">B29+B30+B31+B32+B33</f>
        <v>0</v>
      </c>
      <c r="C34" s="26" t="n">
        <f aca="false">C29+C30+C31+C32+C33</f>
        <v>2250</v>
      </c>
      <c r="D34" s="26" t="n">
        <f aca="false">D29+D30+D31+D32+D33</f>
        <v>2700</v>
      </c>
      <c r="E34" s="26" t="n">
        <f aca="false">E29+E30+E31+E32+E33</f>
        <v>5400</v>
      </c>
      <c r="F34" s="26" t="n">
        <f aca="false">F29+F30+F31+F32+F33</f>
        <v>6300</v>
      </c>
      <c r="G34" s="26" t="n">
        <f aca="false">G29+G30+G31+G32+G33</f>
        <v>9450</v>
      </c>
      <c r="H34" s="26" t="n">
        <f aca="false">H29+H30+H31+H32+H33</f>
        <v>10800</v>
      </c>
      <c r="I34" s="26" t="n">
        <f aca="false">I29+I30+I31+I32+I33</f>
        <v>14400</v>
      </c>
      <c r="J34" s="26" t="n">
        <f aca="false">J29+J30+J31+J32+J33</f>
        <v>14400</v>
      </c>
      <c r="K34" s="26" t="n">
        <f aca="false">K29+K30+K31+K32+K33</f>
        <v>22500</v>
      </c>
      <c r="L34" s="26" t="n">
        <f aca="false">L29+L30+L31+L32+L33</f>
        <v>22500</v>
      </c>
      <c r="M34" s="26" t="n">
        <f aca="false">M29+M30+M31+M32+M33</f>
        <v>27000</v>
      </c>
    </row>
    <row r="35" customFormat="false" ht="15" hidden="false" customHeight="false" outlineLevel="0" collapsed="false">
      <c r="A35" s="6" t="s">
        <v>103</v>
      </c>
      <c r="B35" s="27" t="n">
        <f aca="false">B12*B13+B14*B15+B17*B18+B21*B22+B24*B25</f>
        <v>0</v>
      </c>
      <c r="C35" s="27" t="n">
        <f aca="false">C12*C13+C14*C15+C17*C18+C21*C22+C24*C25</f>
        <v>25</v>
      </c>
      <c r="D35" s="27" t="n">
        <f aca="false">D12*D13+D14*D15+D17*D18+D21*D22+D24*D25</f>
        <v>30</v>
      </c>
      <c r="E35" s="27" t="n">
        <f aca="false">E12*E13+E14*E15+E17*E18+E21*E22+E24*E25</f>
        <v>60</v>
      </c>
      <c r="F35" s="27" t="n">
        <f aca="false">F12*F13+F14*F15+F17*F18+F21*F22+F24*F25</f>
        <v>70</v>
      </c>
      <c r="G35" s="27" t="n">
        <f aca="false">G12*G13+G14*G15+G17*G18+G21*G22+G24*G25</f>
        <v>105</v>
      </c>
      <c r="H35" s="27" t="n">
        <f aca="false">H12*H13+H14*H15+H17*H18+H21*H22+H24*H25</f>
        <v>120</v>
      </c>
      <c r="I35" s="27" t="n">
        <f aca="false">I12*I13+I14*I15+I17*I18+I21*I22+I24*I25</f>
        <v>160</v>
      </c>
      <c r="J35" s="27" t="n">
        <f aca="false">J12*J13+J14*J15+J17*J18+J21*J22+J24*J25</f>
        <v>160</v>
      </c>
      <c r="K35" s="27" t="n">
        <f aca="false">K12*K13+K14*K15+K17*K18+K21*K22+K24*K25</f>
        <v>250</v>
      </c>
      <c r="L35" s="27" t="n">
        <f aca="false">L12*L13+L14*L15+L17*L18+L21*L22+L24*L25</f>
        <v>250</v>
      </c>
      <c r="M35" s="27" t="n">
        <f aca="false">M12*M13+M14*M15+M17*M18+M21*M22+M24*M25</f>
        <v>300</v>
      </c>
    </row>
    <row r="36" customFormat="false" ht="15" hidden="false" customHeight="false" outlineLevel="0" collapsed="false">
      <c r="A36" s="6" t="s">
        <v>104</v>
      </c>
      <c r="B36" s="25" t="n">
        <f aca="false">B35*Assumptions!B23</f>
        <v>0</v>
      </c>
      <c r="C36" s="25" t="n">
        <f aca="false">C35*Assumptions!B23</f>
        <v>0.4875</v>
      </c>
      <c r="D36" s="25" t="n">
        <f aca="false">D35*Assumptions!B23</f>
        <v>0.585</v>
      </c>
      <c r="E36" s="25" t="n">
        <f aca="false">E35*Assumptions!B23</f>
        <v>1.17</v>
      </c>
      <c r="F36" s="25" t="n">
        <f aca="false">F35*Assumptions!B23</f>
        <v>1.365</v>
      </c>
      <c r="G36" s="25" t="n">
        <f aca="false">G35*Assumptions!B23</f>
        <v>2.0475</v>
      </c>
      <c r="H36" s="25" t="n">
        <f aca="false">H35*Assumptions!B23</f>
        <v>2.34</v>
      </c>
      <c r="I36" s="25" t="n">
        <f aca="false">I35*Assumptions!B23</f>
        <v>3.12</v>
      </c>
      <c r="J36" s="25" t="n">
        <f aca="false">J35*Assumptions!B23</f>
        <v>3.12</v>
      </c>
      <c r="K36" s="25" t="n">
        <f aca="false">K35*Assumptions!B23</f>
        <v>4.875</v>
      </c>
      <c r="L36" s="25" t="n">
        <f aca="false">L35*Assumptions!B23</f>
        <v>4.875</v>
      </c>
      <c r="M36" s="25" t="n">
        <f aca="false">M35*Assumptions!B23</f>
        <v>5.85</v>
      </c>
    </row>
    <row r="37" customFormat="false" ht="15" hidden="false" customHeight="false" outlineLevel="0" collapsed="false">
      <c r="A37" s="6" t="s">
        <v>105</v>
      </c>
      <c r="B37" s="25" t="n">
        <f aca="false">Assumptions!B33</f>
        <v>400</v>
      </c>
      <c r="C37" s="25" t="n">
        <f aca="false">Assumptions!B33</f>
        <v>400</v>
      </c>
      <c r="D37" s="25" t="n">
        <f aca="false">Assumptions!B33</f>
        <v>400</v>
      </c>
      <c r="E37" s="25" t="n">
        <f aca="false">Assumptions!B33</f>
        <v>400</v>
      </c>
      <c r="F37" s="25" t="n">
        <f aca="false">Assumptions!B33</f>
        <v>400</v>
      </c>
      <c r="G37" s="25" t="n">
        <f aca="false">Assumptions!B33</f>
        <v>400</v>
      </c>
      <c r="H37" s="25" t="n">
        <f aca="false">Assumptions!B33</f>
        <v>400</v>
      </c>
      <c r="I37" s="25" t="n">
        <f aca="false">Assumptions!B33</f>
        <v>400</v>
      </c>
      <c r="J37" s="25" t="n">
        <f aca="false">Assumptions!B33</f>
        <v>400</v>
      </c>
      <c r="K37" s="25" t="n">
        <f aca="false">Assumptions!B33</f>
        <v>400</v>
      </c>
      <c r="L37" s="25" t="n">
        <f aca="false">Assumptions!B33</f>
        <v>400</v>
      </c>
      <c r="M37" s="25" t="n">
        <f aca="false">Assumptions!B33</f>
        <v>400</v>
      </c>
    </row>
    <row r="38" customFormat="false" ht="15" hidden="false" customHeight="false" outlineLevel="0" collapsed="false">
      <c r="A38" s="13" t="s">
        <v>106</v>
      </c>
      <c r="B38" s="28" t="n">
        <f aca="false">B34-B36-B37</f>
        <v>-400</v>
      </c>
      <c r="C38" s="28" t="n">
        <f aca="false">C34-C36-C37</f>
        <v>1849.5125</v>
      </c>
      <c r="D38" s="28" t="n">
        <f aca="false">D34-D36-D37</f>
        <v>2299.415</v>
      </c>
      <c r="E38" s="28" t="n">
        <f aca="false">E34-E36-E37</f>
        <v>4998.83</v>
      </c>
      <c r="F38" s="28" t="n">
        <f aca="false">F34-F36-F37</f>
        <v>5898.635</v>
      </c>
      <c r="G38" s="28" t="n">
        <f aca="false">G34-G36-G37</f>
        <v>9047.9525</v>
      </c>
      <c r="H38" s="28" t="n">
        <f aca="false">H34-H36-H37</f>
        <v>10397.66</v>
      </c>
      <c r="I38" s="28" t="n">
        <f aca="false">I34-I36-I37</f>
        <v>13996.88</v>
      </c>
      <c r="J38" s="28" t="n">
        <f aca="false">J34-J36-J37</f>
        <v>13996.88</v>
      </c>
      <c r="K38" s="28" t="n">
        <f aca="false">K34-K36-K37</f>
        <v>22095.125</v>
      </c>
      <c r="L38" s="28" t="n">
        <f aca="false">L34-L36-L37</f>
        <v>22095.125</v>
      </c>
      <c r="M38" s="28" t="n">
        <f aca="false">M34-M36-M37</f>
        <v>26594.15</v>
      </c>
    </row>
    <row r="39" customFormat="false" ht="15" hidden="false" customHeight="false" outlineLevel="0" collapsed="false">
      <c r="A39" s="13" t="s">
        <v>107</v>
      </c>
      <c r="B39" s="29" t="n">
        <f aca="false">IF(B34&gt;0,B38/B34,0)</f>
        <v>0</v>
      </c>
      <c r="C39" s="29" t="n">
        <f aca="false">IF(C34&gt;0,C38/C34,0)</f>
        <v>0.822005555555555</v>
      </c>
      <c r="D39" s="29" t="n">
        <f aca="false">IF(D34&gt;0,D38/D34,0)</f>
        <v>0.851635185185185</v>
      </c>
      <c r="E39" s="29" t="n">
        <f aca="false">IF(E34&gt;0,E38/E34,0)</f>
        <v>0.925709259259259</v>
      </c>
      <c r="F39" s="29" t="n">
        <f aca="false">IF(F34&gt;0,F38/F34,0)</f>
        <v>0.93629126984127</v>
      </c>
      <c r="G39" s="29" t="n">
        <f aca="false">IF(G34&gt;0,G38/G34,0)</f>
        <v>0.957455291005291</v>
      </c>
      <c r="H39" s="29" t="n">
        <f aca="false">IF(H34&gt;0,H38/H34,0)</f>
        <v>0.962746296296296</v>
      </c>
      <c r="I39" s="29" t="n">
        <f aca="false">IF(I34&gt;0,I38/I34,0)</f>
        <v>0.972005555555556</v>
      </c>
      <c r="J39" s="29" t="n">
        <f aca="false">IF(J34&gt;0,J38/J34,0)</f>
        <v>0.972005555555556</v>
      </c>
      <c r="K39" s="29" t="n">
        <f aca="false">IF(K34&gt;0,K38/K34,0)</f>
        <v>0.982005555555556</v>
      </c>
      <c r="L39" s="29" t="n">
        <f aca="false">IF(L34&gt;0,L38/L34,0)</f>
        <v>0.982005555555556</v>
      </c>
      <c r="M39" s="29" t="n">
        <f aca="false">IF(M34&gt;0,M38/M34,0)</f>
        <v>0.984968518518519</v>
      </c>
    </row>
    <row r="40" customFormat="false" ht="15" hidden="false" customHeight="false" outlineLevel="0" collapsed="false">
      <c r="A40" s="13" t="s">
        <v>108</v>
      </c>
      <c r="B40" s="28" t="n">
        <f aca="false">B38</f>
        <v>-400</v>
      </c>
      <c r="C40" s="28" t="n">
        <f aca="false">B40+C38</f>
        <v>1449.5125</v>
      </c>
      <c r="D40" s="28" t="n">
        <f aca="false">C40+D38</f>
        <v>3748.9275</v>
      </c>
      <c r="E40" s="28" t="n">
        <f aca="false">D40+E38</f>
        <v>8747.7575</v>
      </c>
      <c r="F40" s="28" t="n">
        <f aca="false">E40+F38</f>
        <v>14646.3925</v>
      </c>
      <c r="G40" s="28" t="n">
        <f aca="false">F40+G38</f>
        <v>23694.345</v>
      </c>
      <c r="H40" s="28" t="n">
        <f aca="false">G40+H38</f>
        <v>34092.005</v>
      </c>
      <c r="I40" s="28" t="n">
        <f aca="false">H40+I38</f>
        <v>48088.885</v>
      </c>
      <c r="J40" s="28" t="n">
        <f aca="false">I40+J38</f>
        <v>62085.765</v>
      </c>
      <c r="K40" s="28" t="n">
        <f aca="false">J40+K38</f>
        <v>84180.89</v>
      </c>
      <c r="L40" s="28" t="n">
        <f aca="false">K40+L38</f>
        <v>106276.015</v>
      </c>
      <c r="M40" s="28" t="n">
        <f aca="false">L40+M38</f>
        <v>132870.165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6"/>
  </cols>
  <sheetData>
    <row r="1" customFormat="false" ht="17.35" hidden="false" customHeight="false" outlineLevel="0" collapsed="false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8" t="s">
        <v>110</v>
      </c>
    </row>
    <row r="4" customFormat="false" ht="15" hidden="false" customHeight="false" outlineLevel="0" collapsed="false">
      <c r="A4" s="4" t="s">
        <v>111</v>
      </c>
      <c r="B4" s="5"/>
      <c r="C4" s="5"/>
    </row>
    <row r="5" customFormat="false" ht="15" hidden="false" customHeight="false" outlineLevel="0" collapsed="false">
      <c r="A5" s="6" t="s">
        <v>112</v>
      </c>
      <c r="B5" s="19" t="n">
        <v>500</v>
      </c>
      <c r="C5" s="8"/>
    </row>
    <row r="6" customFormat="false" ht="15" hidden="false" customHeight="false" outlineLevel="0" collapsed="false">
      <c r="A6" s="6" t="s">
        <v>113</v>
      </c>
      <c r="B6" s="19" t="n">
        <v>750</v>
      </c>
      <c r="C6" s="8"/>
    </row>
    <row r="7" customFormat="false" ht="15" hidden="false" customHeight="false" outlineLevel="0" collapsed="false">
      <c r="A7" s="6" t="s">
        <v>114</v>
      </c>
      <c r="B7" s="19" t="n">
        <v>1500</v>
      </c>
      <c r="C7" s="8"/>
    </row>
    <row r="8" customFormat="false" ht="15" hidden="false" customHeight="false" outlineLevel="0" collapsed="false">
      <c r="A8" s="6" t="s">
        <v>115</v>
      </c>
      <c r="B8" s="19" t="n">
        <v>300</v>
      </c>
      <c r="C8" s="8"/>
    </row>
    <row r="9" customFormat="false" ht="15" hidden="false" customHeight="false" outlineLevel="0" collapsed="false">
      <c r="A9" s="6" t="s">
        <v>116</v>
      </c>
      <c r="B9" s="19" t="n">
        <v>500</v>
      </c>
      <c r="C9" s="8"/>
    </row>
    <row r="10" customFormat="false" ht="15" hidden="false" customHeight="false" outlineLevel="0" collapsed="false">
      <c r="A10" s="6" t="s">
        <v>117</v>
      </c>
      <c r="B10" s="19" t="n">
        <v>800</v>
      </c>
      <c r="C10" s="8"/>
    </row>
    <row r="12" customFormat="false" ht="15" hidden="false" customHeight="false" outlineLevel="0" collapsed="false">
      <c r="A12" s="21"/>
      <c r="B12" s="22" t="s">
        <v>71</v>
      </c>
      <c r="C12" s="22" t="s">
        <v>72</v>
      </c>
      <c r="D12" s="22" t="s">
        <v>73</v>
      </c>
      <c r="E12" s="22" t="s">
        <v>74</v>
      </c>
      <c r="F12" s="22" t="s">
        <v>75</v>
      </c>
      <c r="G12" s="22" t="s">
        <v>76</v>
      </c>
      <c r="H12" s="22" t="s">
        <v>77</v>
      </c>
      <c r="I12" s="22" t="s">
        <v>78</v>
      </c>
      <c r="J12" s="22" t="s">
        <v>79</v>
      </c>
      <c r="K12" s="22" t="s">
        <v>80</v>
      </c>
      <c r="L12" s="22" t="s">
        <v>81</v>
      </c>
      <c r="M12" s="22" t="s">
        <v>82</v>
      </c>
    </row>
    <row r="13" customFormat="false" ht="15" hidden="false" customHeight="false" outlineLevel="0" collapsed="false">
      <c r="A13" s="6" t="s">
        <v>118</v>
      </c>
      <c r="B13" s="23" t="n">
        <v>1</v>
      </c>
      <c r="C13" s="23" t="n">
        <v>2</v>
      </c>
      <c r="D13" s="23" t="n">
        <v>3</v>
      </c>
      <c r="E13" s="23" t="n">
        <v>3</v>
      </c>
      <c r="F13" s="23" t="n">
        <v>4</v>
      </c>
      <c r="G13" s="23" t="n">
        <v>4</v>
      </c>
      <c r="H13" s="23" t="n">
        <v>5</v>
      </c>
      <c r="I13" s="23" t="n">
        <v>5</v>
      </c>
      <c r="J13" s="23" t="n">
        <v>6</v>
      </c>
      <c r="K13" s="23" t="n">
        <v>6</v>
      </c>
      <c r="L13" s="23" t="n">
        <v>7</v>
      </c>
      <c r="M13" s="23" t="n">
        <v>8</v>
      </c>
    </row>
    <row r="14" customFormat="false" ht="15" hidden="false" customHeight="false" outlineLevel="0" collapsed="false">
      <c r="A14" s="6" t="s">
        <v>119</v>
      </c>
      <c r="B14" s="23" t="n">
        <v>0</v>
      </c>
      <c r="C14" s="23" t="n">
        <v>0</v>
      </c>
      <c r="D14" s="23" t="n">
        <v>0</v>
      </c>
      <c r="E14" s="23" t="n">
        <v>1</v>
      </c>
      <c r="F14" s="23" t="n">
        <v>1</v>
      </c>
      <c r="G14" s="23" t="n">
        <v>2</v>
      </c>
      <c r="H14" s="23" t="n">
        <v>2</v>
      </c>
      <c r="I14" s="23" t="n">
        <v>3</v>
      </c>
      <c r="J14" s="23" t="n">
        <v>3</v>
      </c>
      <c r="K14" s="23" t="n">
        <v>4</v>
      </c>
      <c r="L14" s="23" t="n">
        <v>4</v>
      </c>
      <c r="M14" s="23" t="n">
        <v>5</v>
      </c>
    </row>
    <row r="15" customFormat="false" ht="15" hidden="false" customHeight="false" outlineLevel="0" collapsed="false">
      <c r="A15" s="6" t="s">
        <v>120</v>
      </c>
      <c r="B15" s="23" t="n">
        <v>0</v>
      </c>
      <c r="C15" s="23" t="n">
        <v>0</v>
      </c>
      <c r="D15" s="23" t="n">
        <v>0</v>
      </c>
      <c r="E15" s="23" t="n">
        <v>0</v>
      </c>
      <c r="F15" s="23" t="n">
        <v>1</v>
      </c>
      <c r="G15" s="23" t="n">
        <v>1</v>
      </c>
      <c r="H15" s="23" t="n">
        <v>1</v>
      </c>
      <c r="I15" s="23" t="n">
        <v>2</v>
      </c>
      <c r="J15" s="23" t="n">
        <v>2</v>
      </c>
      <c r="K15" s="23" t="n">
        <v>2</v>
      </c>
      <c r="L15" s="23" t="n">
        <v>3</v>
      </c>
      <c r="M15" s="23" t="n">
        <v>3</v>
      </c>
    </row>
    <row r="16" customFormat="false" ht="15" hidden="false" customHeight="false" outlineLevel="0" collapsed="false">
      <c r="A16" s="6" t="s">
        <v>121</v>
      </c>
      <c r="B16" s="23" t="n">
        <v>0</v>
      </c>
      <c r="C16" s="23" t="n">
        <v>0</v>
      </c>
      <c r="D16" s="23" t="n">
        <v>1</v>
      </c>
      <c r="E16" s="23" t="n">
        <v>2</v>
      </c>
      <c r="F16" s="23" t="n">
        <v>3</v>
      </c>
      <c r="G16" s="23" t="n">
        <v>4</v>
      </c>
      <c r="H16" s="23" t="n">
        <v>5</v>
      </c>
      <c r="I16" s="23" t="n">
        <v>5</v>
      </c>
      <c r="J16" s="23" t="n">
        <v>6</v>
      </c>
      <c r="K16" s="23" t="n">
        <v>7</v>
      </c>
      <c r="L16" s="23" t="n">
        <v>8</v>
      </c>
      <c r="M16" s="23" t="n">
        <v>10</v>
      </c>
    </row>
    <row r="17" customFormat="false" ht="15" hidden="false" customHeight="false" outlineLevel="0" collapsed="false">
      <c r="A17" s="6" t="s">
        <v>122</v>
      </c>
      <c r="B17" s="23" t="n">
        <v>0</v>
      </c>
      <c r="C17" s="23" t="n">
        <v>0</v>
      </c>
      <c r="D17" s="23" t="n">
        <v>0</v>
      </c>
      <c r="E17" s="23" t="n">
        <v>0</v>
      </c>
      <c r="F17" s="23" t="n">
        <v>0</v>
      </c>
      <c r="G17" s="23" t="n">
        <v>1</v>
      </c>
      <c r="H17" s="23" t="n">
        <v>1</v>
      </c>
      <c r="I17" s="23" t="n">
        <v>2</v>
      </c>
      <c r="J17" s="23" t="n">
        <v>2</v>
      </c>
      <c r="K17" s="23" t="n">
        <v>3</v>
      </c>
      <c r="L17" s="23" t="n">
        <v>3</v>
      </c>
      <c r="M17" s="23" t="n">
        <v>4</v>
      </c>
    </row>
    <row r="18" customFormat="false" ht="15" hidden="false" customHeight="false" outlineLevel="0" collapsed="false">
      <c r="A18" s="6" t="s">
        <v>123</v>
      </c>
      <c r="B18" s="23" t="n">
        <v>0</v>
      </c>
      <c r="C18" s="23" t="n">
        <v>0</v>
      </c>
      <c r="D18" s="23" t="n">
        <v>0</v>
      </c>
      <c r="E18" s="23" t="n">
        <v>0</v>
      </c>
      <c r="F18" s="23" t="n">
        <v>0</v>
      </c>
      <c r="G18" s="23" t="n">
        <v>0</v>
      </c>
      <c r="H18" s="23" t="n">
        <v>1</v>
      </c>
      <c r="I18" s="23" t="n">
        <v>1</v>
      </c>
      <c r="J18" s="23" t="n">
        <v>1</v>
      </c>
      <c r="K18" s="23" t="n">
        <v>2</v>
      </c>
      <c r="L18" s="23" t="n">
        <v>2</v>
      </c>
      <c r="M18" s="23" t="n">
        <v>3</v>
      </c>
    </row>
    <row r="20" customFormat="false" ht="15" hidden="false" customHeight="false" outlineLevel="0" collapsed="false">
      <c r="A20" s="4" t="s">
        <v>124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customFormat="false" ht="15" hidden="false" customHeight="false" outlineLevel="0" collapsed="false">
      <c r="A21" s="6" t="s">
        <v>125</v>
      </c>
      <c r="B21" s="25" t="n">
        <f aca="false">B13*$B$5</f>
        <v>500</v>
      </c>
      <c r="C21" s="25" t="n">
        <f aca="false">C13*$B$5</f>
        <v>1000</v>
      </c>
      <c r="D21" s="25" t="n">
        <f aca="false">D13*$B$5</f>
        <v>1500</v>
      </c>
      <c r="E21" s="25" t="n">
        <f aca="false">E13*$B$5</f>
        <v>1500</v>
      </c>
      <c r="F21" s="25" t="n">
        <f aca="false">F13*$B$5</f>
        <v>2000</v>
      </c>
      <c r="G21" s="25" t="n">
        <f aca="false">G13*$B$5</f>
        <v>2000</v>
      </c>
      <c r="H21" s="25" t="n">
        <f aca="false">H13*$B$5</f>
        <v>2500</v>
      </c>
      <c r="I21" s="25" t="n">
        <f aca="false">I13*$B$5</f>
        <v>2500</v>
      </c>
      <c r="J21" s="25" t="n">
        <f aca="false">J13*$B$5</f>
        <v>3000</v>
      </c>
      <c r="K21" s="25" t="n">
        <f aca="false">K13*$B$5</f>
        <v>3000</v>
      </c>
      <c r="L21" s="25" t="n">
        <f aca="false">L13*$B$5</f>
        <v>3500</v>
      </c>
      <c r="M21" s="25" t="n">
        <f aca="false">M13*$B$5</f>
        <v>4000</v>
      </c>
    </row>
    <row r="22" customFormat="false" ht="15" hidden="false" customHeight="false" outlineLevel="0" collapsed="false">
      <c r="A22" s="6" t="s">
        <v>126</v>
      </c>
      <c r="B22" s="25" t="n">
        <f aca="false">B14*$B$6</f>
        <v>0</v>
      </c>
      <c r="C22" s="25" t="n">
        <f aca="false">C14*$B$6</f>
        <v>0</v>
      </c>
      <c r="D22" s="25" t="n">
        <f aca="false">D14*$B$6</f>
        <v>0</v>
      </c>
      <c r="E22" s="25" t="n">
        <f aca="false">E14*$B$6</f>
        <v>750</v>
      </c>
      <c r="F22" s="25" t="n">
        <f aca="false">F14*$B$6</f>
        <v>750</v>
      </c>
      <c r="G22" s="25" t="n">
        <f aca="false">G14*$B$6</f>
        <v>1500</v>
      </c>
      <c r="H22" s="25" t="n">
        <f aca="false">H14*$B$6</f>
        <v>1500</v>
      </c>
      <c r="I22" s="25" t="n">
        <f aca="false">I14*$B$6</f>
        <v>2250</v>
      </c>
      <c r="J22" s="25" t="n">
        <f aca="false">J14*$B$6</f>
        <v>2250</v>
      </c>
      <c r="K22" s="25" t="n">
        <f aca="false">K14*$B$6</f>
        <v>3000</v>
      </c>
      <c r="L22" s="25" t="n">
        <f aca="false">L14*$B$6</f>
        <v>3000</v>
      </c>
      <c r="M22" s="25" t="n">
        <f aca="false">M14*$B$6</f>
        <v>3750</v>
      </c>
    </row>
    <row r="23" customFormat="false" ht="15" hidden="false" customHeight="false" outlineLevel="0" collapsed="false">
      <c r="A23" s="6" t="s">
        <v>99</v>
      </c>
      <c r="B23" s="25" t="n">
        <f aca="false">B15*$B$7</f>
        <v>0</v>
      </c>
      <c r="C23" s="25" t="n">
        <f aca="false">C15*$B$7</f>
        <v>0</v>
      </c>
      <c r="D23" s="25" t="n">
        <f aca="false">D15*$B$7</f>
        <v>0</v>
      </c>
      <c r="E23" s="25" t="n">
        <f aca="false">E15*$B$7</f>
        <v>0</v>
      </c>
      <c r="F23" s="25" t="n">
        <f aca="false">F15*$B$7</f>
        <v>1500</v>
      </c>
      <c r="G23" s="25" t="n">
        <f aca="false">G15*$B$7</f>
        <v>1500</v>
      </c>
      <c r="H23" s="25" t="n">
        <f aca="false">H15*$B$7</f>
        <v>1500</v>
      </c>
      <c r="I23" s="25" t="n">
        <f aca="false">I15*$B$7</f>
        <v>3000</v>
      </c>
      <c r="J23" s="25" t="n">
        <f aca="false">J15*$B$7</f>
        <v>3000</v>
      </c>
      <c r="K23" s="25" t="n">
        <f aca="false">K15*$B$7</f>
        <v>3000</v>
      </c>
      <c r="L23" s="25" t="n">
        <f aca="false">L15*$B$7</f>
        <v>4500</v>
      </c>
      <c r="M23" s="25" t="n">
        <f aca="false">M15*$B$7</f>
        <v>4500</v>
      </c>
    </row>
    <row r="24" customFormat="false" ht="15" hidden="false" customHeight="false" outlineLevel="0" collapsed="false">
      <c r="A24" s="6" t="s">
        <v>127</v>
      </c>
      <c r="B24" s="25" t="n">
        <f aca="false">B16*$B$8</f>
        <v>0</v>
      </c>
      <c r="C24" s="25" t="n">
        <f aca="false">C16*$B$8</f>
        <v>0</v>
      </c>
      <c r="D24" s="25" t="n">
        <f aca="false">D16*$B$8</f>
        <v>300</v>
      </c>
      <c r="E24" s="25" t="n">
        <f aca="false">E16*$B$8</f>
        <v>600</v>
      </c>
      <c r="F24" s="25" t="n">
        <f aca="false">F16*$B$8</f>
        <v>900</v>
      </c>
      <c r="G24" s="25" t="n">
        <f aca="false">G16*$B$8</f>
        <v>1200</v>
      </c>
      <c r="H24" s="25" t="n">
        <f aca="false">H16*$B$8</f>
        <v>1500</v>
      </c>
      <c r="I24" s="25" t="n">
        <f aca="false">I16*$B$8</f>
        <v>1500</v>
      </c>
      <c r="J24" s="25" t="n">
        <f aca="false">J16*$B$8</f>
        <v>1800</v>
      </c>
      <c r="K24" s="25" t="n">
        <f aca="false">K16*$B$8</f>
        <v>2100</v>
      </c>
      <c r="L24" s="25" t="n">
        <f aca="false">L16*$B$8</f>
        <v>2400</v>
      </c>
      <c r="M24" s="25" t="n">
        <f aca="false">M16*$B$8</f>
        <v>3000</v>
      </c>
    </row>
    <row r="25" customFormat="false" ht="15" hidden="false" customHeight="false" outlineLevel="0" collapsed="false">
      <c r="A25" s="6" t="s">
        <v>128</v>
      </c>
      <c r="B25" s="25" t="n">
        <f aca="false">B17*$B$9</f>
        <v>0</v>
      </c>
      <c r="C25" s="25" t="n">
        <f aca="false">C17*$B$9</f>
        <v>0</v>
      </c>
      <c r="D25" s="25" t="n">
        <f aca="false">D17*$B$9</f>
        <v>0</v>
      </c>
      <c r="E25" s="25" t="n">
        <f aca="false">E17*$B$9</f>
        <v>0</v>
      </c>
      <c r="F25" s="25" t="n">
        <f aca="false">F17*$B$9</f>
        <v>0</v>
      </c>
      <c r="G25" s="25" t="n">
        <f aca="false">G17*$B$9</f>
        <v>500</v>
      </c>
      <c r="H25" s="25" t="n">
        <f aca="false">H17*$B$9</f>
        <v>500</v>
      </c>
      <c r="I25" s="25" t="n">
        <f aca="false">I17*$B$9</f>
        <v>1000</v>
      </c>
      <c r="J25" s="25" t="n">
        <f aca="false">J17*$B$9</f>
        <v>1000</v>
      </c>
      <c r="K25" s="25" t="n">
        <f aca="false">K17*$B$9</f>
        <v>1500</v>
      </c>
      <c r="L25" s="25" t="n">
        <f aca="false">L17*$B$9</f>
        <v>1500</v>
      </c>
      <c r="M25" s="25" t="n">
        <f aca="false">M17*$B$9</f>
        <v>2000</v>
      </c>
    </row>
    <row r="26" customFormat="false" ht="15" hidden="false" customHeight="false" outlineLevel="0" collapsed="false">
      <c r="A26" s="6" t="s">
        <v>129</v>
      </c>
      <c r="B26" s="25" t="n">
        <f aca="false">B18*$B$10</f>
        <v>0</v>
      </c>
      <c r="C26" s="25" t="n">
        <f aca="false">C18*$B$10</f>
        <v>0</v>
      </c>
      <c r="D26" s="25" t="n">
        <f aca="false">D18*$B$10</f>
        <v>0</v>
      </c>
      <c r="E26" s="25" t="n">
        <f aca="false">E18*$B$10</f>
        <v>0</v>
      </c>
      <c r="F26" s="25" t="n">
        <f aca="false">F18*$B$10</f>
        <v>0</v>
      </c>
      <c r="G26" s="25" t="n">
        <f aca="false">G18*$B$10</f>
        <v>0</v>
      </c>
      <c r="H26" s="25" t="n">
        <f aca="false">H18*$B$10</f>
        <v>800</v>
      </c>
      <c r="I26" s="25" t="n">
        <f aca="false">I18*$B$10</f>
        <v>800</v>
      </c>
      <c r="J26" s="25" t="n">
        <f aca="false">J18*$B$10</f>
        <v>800</v>
      </c>
      <c r="K26" s="25" t="n">
        <f aca="false">K18*$B$10</f>
        <v>1600</v>
      </c>
      <c r="L26" s="25" t="n">
        <f aca="false">L18*$B$10</f>
        <v>1600</v>
      </c>
      <c r="M26" s="25" t="n">
        <f aca="false">M18*$B$10</f>
        <v>2400</v>
      </c>
    </row>
    <row r="27" customFormat="false" ht="15" hidden="false" customHeight="false" outlineLevel="0" collapsed="false">
      <c r="A27" s="13" t="s">
        <v>102</v>
      </c>
      <c r="B27" s="26" t="n">
        <f aca="false">B21+B22+B23+B24+B25+B26</f>
        <v>500</v>
      </c>
      <c r="C27" s="26" t="n">
        <f aca="false">C21+C22+C23+C24+C25+C26</f>
        <v>1000</v>
      </c>
      <c r="D27" s="26" t="n">
        <f aca="false">D21+D22+D23+D24+D25+D26</f>
        <v>1800</v>
      </c>
      <c r="E27" s="26" t="n">
        <f aca="false">E21+E22+E23+E24+E25+E26</f>
        <v>2850</v>
      </c>
      <c r="F27" s="26" t="n">
        <f aca="false">F21+F22+F23+F24+F25+F26</f>
        <v>5150</v>
      </c>
      <c r="G27" s="26" t="n">
        <f aca="false">G21+G22+G23+G24+G25+G26</f>
        <v>6700</v>
      </c>
      <c r="H27" s="26" t="n">
        <f aca="false">H21+H22+H23+H24+H25+H26</f>
        <v>8300</v>
      </c>
      <c r="I27" s="26" t="n">
        <f aca="false">I21+I22+I23+I24+I25+I26</f>
        <v>11050</v>
      </c>
      <c r="J27" s="26" t="n">
        <f aca="false">J21+J22+J23+J24+J25+J26</f>
        <v>11850</v>
      </c>
      <c r="K27" s="26" t="n">
        <f aca="false">K21+K22+K23+K24+K25+K26</f>
        <v>14200</v>
      </c>
      <c r="L27" s="26" t="n">
        <f aca="false">L21+L22+L23+L24+L25+L26</f>
        <v>16500</v>
      </c>
      <c r="M27" s="26" t="n">
        <f aca="false">M21+M22+M23+M24+M25+M26</f>
        <v>19650</v>
      </c>
    </row>
    <row r="28" customFormat="false" ht="15" hidden="false" customHeight="false" outlineLevel="0" collapsed="false">
      <c r="A28" s="6" t="s">
        <v>130</v>
      </c>
      <c r="B28" s="27" t="n">
        <f aca="false">B13*25+B14*50+B15*150+B16*25+B17*50+B18*100</f>
        <v>25</v>
      </c>
      <c r="C28" s="27" t="n">
        <f aca="false">C13*25+C14*50+C15*150+C16*25+C17*50+C18*100</f>
        <v>50</v>
      </c>
      <c r="D28" s="27" t="n">
        <f aca="false">D13*25+D14*50+D15*150+D16*25+D17*50+D18*100</f>
        <v>100</v>
      </c>
      <c r="E28" s="27" t="n">
        <f aca="false">E13*25+E14*50+E15*150+E16*25+E17*50+E18*100</f>
        <v>175</v>
      </c>
      <c r="F28" s="27" t="n">
        <f aca="false">F13*25+F14*50+F15*150+F16*25+F17*50+F18*100</f>
        <v>375</v>
      </c>
      <c r="G28" s="27" t="n">
        <f aca="false">G13*25+G14*50+G15*150+G16*25+G17*50+G18*100</f>
        <v>500</v>
      </c>
      <c r="H28" s="27" t="n">
        <f aca="false">H13*25+H14*50+H15*150+H16*25+H17*50+H18*100</f>
        <v>650</v>
      </c>
      <c r="I28" s="27" t="n">
        <f aca="false">I13*25+I14*50+I15*150+I16*25+I17*50+I18*100</f>
        <v>900</v>
      </c>
      <c r="J28" s="27" t="n">
        <f aca="false">J13*25+J14*50+J15*150+J16*25+J17*50+J18*100</f>
        <v>950</v>
      </c>
      <c r="K28" s="27" t="n">
        <f aca="false">K13*25+K14*50+K15*150+K16*25+K17*50+K18*100</f>
        <v>1175</v>
      </c>
      <c r="L28" s="27" t="n">
        <f aca="false">L13*25+L14*50+L15*150+L16*25+L17*50+L18*100</f>
        <v>1375</v>
      </c>
      <c r="M28" s="27" t="n">
        <f aca="false">M13*25+M14*50+M15*150+M16*25+M17*50+M18*100</f>
        <v>1650</v>
      </c>
    </row>
    <row r="29" customFormat="false" ht="15" hidden="false" customHeight="false" outlineLevel="0" collapsed="false">
      <c r="A29" s="6" t="s">
        <v>104</v>
      </c>
      <c r="B29" s="25" t="n">
        <f aca="false">B28*Assumptions!B23</f>
        <v>0.4875</v>
      </c>
      <c r="C29" s="25" t="n">
        <f aca="false">C28*Assumptions!B23</f>
        <v>0.975</v>
      </c>
      <c r="D29" s="25" t="n">
        <f aca="false">D28*Assumptions!B23</f>
        <v>1.95</v>
      </c>
      <c r="E29" s="25" t="n">
        <f aca="false">E28*Assumptions!B23</f>
        <v>3.4125</v>
      </c>
      <c r="F29" s="25" t="n">
        <f aca="false">F28*Assumptions!B23</f>
        <v>7.3125</v>
      </c>
      <c r="G29" s="25" t="n">
        <f aca="false">G28*Assumptions!B23</f>
        <v>9.75</v>
      </c>
      <c r="H29" s="25" t="n">
        <f aca="false">H28*Assumptions!B23</f>
        <v>12.675</v>
      </c>
      <c r="I29" s="25" t="n">
        <f aca="false">I28*Assumptions!B23</f>
        <v>17.55</v>
      </c>
      <c r="J29" s="25" t="n">
        <f aca="false">J28*Assumptions!B23</f>
        <v>18.525</v>
      </c>
      <c r="K29" s="25" t="n">
        <f aca="false">K28*Assumptions!B23</f>
        <v>22.9125</v>
      </c>
      <c r="L29" s="25" t="n">
        <f aca="false">L28*Assumptions!B23</f>
        <v>26.8125</v>
      </c>
      <c r="M29" s="25" t="n">
        <f aca="false">M28*Assumptions!B23</f>
        <v>32.175</v>
      </c>
    </row>
    <row r="30" customFormat="false" ht="15" hidden="false" customHeight="false" outlineLevel="0" collapsed="false">
      <c r="A30" s="6" t="s">
        <v>105</v>
      </c>
      <c r="B30" s="25" t="n">
        <f aca="false">Assumptions!B33</f>
        <v>400</v>
      </c>
      <c r="C30" s="25" t="n">
        <f aca="false">Assumptions!B33</f>
        <v>400</v>
      </c>
      <c r="D30" s="25" t="n">
        <f aca="false">Assumptions!B33</f>
        <v>400</v>
      </c>
      <c r="E30" s="25" t="n">
        <f aca="false">Assumptions!B33</f>
        <v>400</v>
      </c>
      <c r="F30" s="25" t="n">
        <f aca="false">Assumptions!B33</f>
        <v>400</v>
      </c>
      <c r="G30" s="25" t="n">
        <f aca="false">Assumptions!B33</f>
        <v>400</v>
      </c>
      <c r="H30" s="25" t="n">
        <f aca="false">Assumptions!B33</f>
        <v>400</v>
      </c>
      <c r="I30" s="25" t="n">
        <f aca="false">Assumptions!B33</f>
        <v>400</v>
      </c>
      <c r="J30" s="25" t="n">
        <f aca="false">Assumptions!B33</f>
        <v>400</v>
      </c>
      <c r="K30" s="25" t="n">
        <f aca="false">Assumptions!B33</f>
        <v>400</v>
      </c>
      <c r="L30" s="25" t="n">
        <f aca="false">Assumptions!B33</f>
        <v>400</v>
      </c>
      <c r="M30" s="25" t="n">
        <f aca="false">Assumptions!B33</f>
        <v>400</v>
      </c>
    </row>
    <row r="31" customFormat="false" ht="15" hidden="false" customHeight="false" outlineLevel="0" collapsed="false">
      <c r="A31" s="13" t="s">
        <v>106</v>
      </c>
      <c r="B31" s="28" t="n">
        <f aca="false">B27-B29-B30</f>
        <v>99.5125</v>
      </c>
      <c r="C31" s="28" t="n">
        <f aca="false">C27-C29-C30</f>
        <v>599.025</v>
      </c>
      <c r="D31" s="28" t="n">
        <f aca="false">D27-D29-D30</f>
        <v>1398.05</v>
      </c>
      <c r="E31" s="28" t="n">
        <f aca="false">E27-E29-E30</f>
        <v>2446.5875</v>
      </c>
      <c r="F31" s="28" t="n">
        <f aca="false">F27-F29-F30</f>
        <v>4742.6875</v>
      </c>
      <c r="G31" s="28" t="n">
        <f aca="false">G27-G29-G30</f>
        <v>6290.25</v>
      </c>
      <c r="H31" s="28" t="n">
        <f aca="false">H27-H29-H30</f>
        <v>7887.325</v>
      </c>
      <c r="I31" s="28" t="n">
        <f aca="false">I27-I29-I30</f>
        <v>10632.45</v>
      </c>
      <c r="J31" s="28" t="n">
        <f aca="false">J27-J29-J30</f>
        <v>11431.475</v>
      </c>
      <c r="K31" s="28" t="n">
        <f aca="false">K27-K29-K30</f>
        <v>13777.0875</v>
      </c>
      <c r="L31" s="28" t="n">
        <f aca="false">L27-L29-L30</f>
        <v>16073.1875</v>
      </c>
      <c r="M31" s="28" t="n">
        <f aca="false">M27-M29-M30</f>
        <v>19217.825</v>
      </c>
    </row>
    <row r="32" customFormat="false" ht="15" hidden="false" customHeight="false" outlineLevel="0" collapsed="false">
      <c r="A32" s="13" t="s">
        <v>107</v>
      </c>
      <c r="B32" s="29" t="n">
        <f aca="false">IF(B27&gt;0,B31/B27,0)</f>
        <v>0.199025</v>
      </c>
      <c r="C32" s="29" t="n">
        <f aca="false">IF(C27&gt;0,C31/C27,0)</f>
        <v>0.599025</v>
      </c>
      <c r="D32" s="29" t="n">
        <f aca="false">IF(D27&gt;0,D31/D27,0)</f>
        <v>0.776694444444445</v>
      </c>
      <c r="E32" s="29" t="n">
        <f aca="false">IF(E27&gt;0,E31/E27,0)</f>
        <v>0.858451754385965</v>
      </c>
      <c r="F32" s="29" t="n">
        <f aca="false">IF(F27&gt;0,F31/F27,0)</f>
        <v>0.920910194174757</v>
      </c>
      <c r="G32" s="29" t="n">
        <f aca="false">IF(G27&gt;0,G31/G27,0)</f>
        <v>0.93884328358209</v>
      </c>
      <c r="H32" s="29" t="n">
        <f aca="false">IF(H27&gt;0,H31/H27,0)</f>
        <v>0.950280120481928</v>
      </c>
      <c r="I32" s="29" t="n">
        <f aca="false">IF(I27&gt;0,I31/I27,0)</f>
        <v>0.962212669683258</v>
      </c>
      <c r="J32" s="29" t="n">
        <f aca="false">IF(J27&gt;0,J31/J27,0)</f>
        <v>0.964681434599156</v>
      </c>
      <c r="K32" s="29" t="n">
        <f aca="false">IF(K27&gt;0,K31/K27,0)</f>
        <v>0.970217429577465</v>
      </c>
      <c r="L32" s="29" t="n">
        <f aca="false">IF(L27&gt;0,L31/L27,0)</f>
        <v>0.974132575757576</v>
      </c>
      <c r="M32" s="29" t="n">
        <f aca="false">IF(M27&gt;0,M31/M27,0)</f>
        <v>0.978006361323155</v>
      </c>
    </row>
    <row r="33" customFormat="false" ht="15" hidden="false" customHeight="false" outlineLevel="0" collapsed="false">
      <c r="A33" s="13" t="s">
        <v>108</v>
      </c>
      <c r="B33" s="28" t="n">
        <f aca="false">B31</f>
        <v>99.5125</v>
      </c>
      <c r="C33" s="28" t="n">
        <f aca="false">B33+C31</f>
        <v>698.5375</v>
      </c>
      <c r="D33" s="28" t="n">
        <f aca="false">C33+D31</f>
        <v>2096.5875</v>
      </c>
      <c r="E33" s="28" t="n">
        <f aca="false">D33+E31</f>
        <v>4543.175</v>
      </c>
      <c r="F33" s="28" t="n">
        <f aca="false">E33+F31</f>
        <v>9285.8625</v>
      </c>
      <c r="G33" s="28" t="n">
        <f aca="false">F33+G31</f>
        <v>15576.1125</v>
      </c>
      <c r="H33" s="28" t="n">
        <f aca="false">G33+H31</f>
        <v>23463.4375</v>
      </c>
      <c r="I33" s="28" t="n">
        <f aca="false">H33+I31</f>
        <v>34095.8875</v>
      </c>
      <c r="J33" s="28" t="n">
        <f aca="false">I33+J31</f>
        <v>45527.3625</v>
      </c>
      <c r="K33" s="28" t="n">
        <f aca="false">J33+K31</f>
        <v>59304.45</v>
      </c>
      <c r="L33" s="28" t="n">
        <f aca="false">K33+L31</f>
        <v>75377.6375</v>
      </c>
      <c r="M33" s="28" t="n">
        <f aca="false">L33+M31</f>
        <v>94595.4625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1" t="s">
        <v>131</v>
      </c>
      <c r="B1" s="1"/>
      <c r="C1" s="1"/>
      <c r="D1" s="1"/>
    </row>
    <row r="3" customFormat="false" ht="15" hidden="false" customHeight="false" outlineLevel="0" collapsed="false">
      <c r="A3" s="22" t="s">
        <v>132</v>
      </c>
      <c r="B3" s="22" t="s">
        <v>133</v>
      </c>
      <c r="C3" s="22" t="s">
        <v>134</v>
      </c>
      <c r="D3" s="22" t="s">
        <v>135</v>
      </c>
    </row>
    <row r="4" customFormat="false" ht="15" hidden="false" customHeight="false" outlineLevel="0" collapsed="false">
      <c r="A4" s="30" t="s">
        <v>136</v>
      </c>
      <c r="B4" s="25" t="n">
        <f aca="false">SUM('Per-Lead P&amp;L'!B34:M34)</f>
        <v>137700</v>
      </c>
      <c r="C4" s="25" t="n">
        <f aca="false">SUM('Subscription P&amp;L'!B27:M27)</f>
        <v>99550</v>
      </c>
      <c r="D4" s="9"/>
    </row>
    <row r="5" customFormat="false" ht="15" hidden="false" customHeight="false" outlineLevel="0" collapsed="false">
      <c r="A5" s="6" t="s">
        <v>137</v>
      </c>
      <c r="B5" s="25" t="n">
        <f aca="false">SUM('Per-Lead P&amp;L'!B36:M36)</f>
        <v>29.835</v>
      </c>
      <c r="C5" s="25" t="n">
        <f aca="false">SUM('Subscription P&amp;L'!B29:M29)</f>
        <v>154.5375</v>
      </c>
      <c r="D5" s="9"/>
    </row>
    <row r="6" customFormat="false" ht="15" hidden="false" customHeight="false" outlineLevel="0" collapsed="false">
      <c r="A6" s="6" t="s">
        <v>138</v>
      </c>
      <c r="B6" s="25" t="n">
        <f aca="false">SUM('Per-Lead P&amp;L'!B37:M37)</f>
        <v>4800</v>
      </c>
      <c r="C6" s="25" t="n">
        <f aca="false">SUM('Subscription P&amp;L'!B30:M30)</f>
        <v>4800</v>
      </c>
      <c r="D6" s="9"/>
    </row>
    <row r="7" customFormat="false" ht="15" hidden="false" customHeight="false" outlineLevel="0" collapsed="false">
      <c r="A7" s="13" t="s">
        <v>139</v>
      </c>
      <c r="B7" s="31" t="n">
        <f aca="false">B4-B5-B6</f>
        <v>132870.165</v>
      </c>
      <c r="C7" s="31" t="n">
        <f aca="false">C4-C5-C6</f>
        <v>94595.4625</v>
      </c>
      <c r="D7" s="32"/>
    </row>
    <row r="8" customFormat="false" ht="15" hidden="false" customHeight="false" outlineLevel="0" collapsed="false">
      <c r="A8" s="13" t="s">
        <v>140</v>
      </c>
      <c r="B8" s="33" t="n">
        <f aca="false">IF(B4&gt;0,B7/B4,0)</f>
        <v>0.964924945533769</v>
      </c>
      <c r="C8" s="33" t="n">
        <f aca="false">IF(C4&gt;0,C7/C4,0)</f>
        <v>0.950230662983425</v>
      </c>
      <c r="D8" s="32"/>
    </row>
    <row r="9" customFormat="false" ht="15" hidden="false" customHeight="false" outlineLevel="0" collapsed="false">
      <c r="A9" s="13" t="s">
        <v>141</v>
      </c>
      <c r="B9" s="31" t="n">
        <f aca="false">'Per-Lead P&amp;L'!M34</f>
        <v>27000</v>
      </c>
      <c r="C9" s="31" t="n">
        <f aca="false">'Subscription P&amp;L'!M27</f>
        <v>19650</v>
      </c>
      <c r="D9" s="32" t="s">
        <v>142</v>
      </c>
    </row>
    <row r="10" customFormat="false" ht="15" hidden="false" customHeight="false" outlineLevel="0" collapsed="false">
      <c r="A10" s="6" t="s">
        <v>143</v>
      </c>
      <c r="B10" s="34"/>
      <c r="C10" s="34"/>
      <c r="D10" s="9" t="s">
        <v>144</v>
      </c>
    </row>
    <row r="11" customFormat="false" ht="15" hidden="false" customHeight="false" outlineLevel="0" collapsed="false">
      <c r="A11" s="6" t="s">
        <v>145</v>
      </c>
      <c r="B11" s="27" t="n">
        <f aca="false">SUM('Per-Lead P&amp;L'!B35:M35)</f>
        <v>1530</v>
      </c>
      <c r="C11" s="27" t="n">
        <f aca="false">SUM('Subscription P&amp;L'!B28:M28)</f>
        <v>7925</v>
      </c>
      <c r="D11" s="9"/>
    </row>
    <row r="12" customFormat="false" ht="15" hidden="false" customHeight="false" outlineLevel="0" collapsed="false">
      <c r="A12" s="6" t="s">
        <v>146</v>
      </c>
      <c r="B12" s="27" t="n">
        <f aca="false">IF(B11&gt;0,B4/B11,0)</f>
        <v>90</v>
      </c>
      <c r="C12" s="27" t="n">
        <f aca="false">IF(C11&gt;0,C4/C11,0)</f>
        <v>12.5615141955836</v>
      </c>
      <c r="D12" s="9" t="s">
        <v>147</v>
      </c>
    </row>
    <row r="13" customFormat="false" ht="15" hidden="false" customHeight="false" outlineLevel="0" collapsed="false">
      <c r="A13" s="6" t="s">
        <v>148</v>
      </c>
      <c r="B13" s="27" t="n">
        <f aca="false">Assumptions!B23</f>
        <v>0.0195</v>
      </c>
      <c r="C13" s="27" t="n">
        <f aca="false">Assumptions!B23</f>
        <v>0.0195</v>
      </c>
      <c r="D13" s="9" t="s">
        <v>149</v>
      </c>
    </row>
    <row r="16" customFormat="false" ht="15" hidden="false" customHeight="false" outlineLevel="0" collapsed="false">
      <c r="A16" s="4" t="s">
        <v>150</v>
      </c>
      <c r="B16" s="5"/>
      <c r="C16" s="5"/>
      <c r="D16" s="5"/>
    </row>
    <row r="17" customFormat="false" ht="15" hidden="false" customHeight="false" outlineLevel="0" collapsed="false">
      <c r="A17" s="6" t="s">
        <v>14</v>
      </c>
      <c r="B17" s="35" t="n">
        <f aca="false">Assumptions!B11</f>
        <v>385000</v>
      </c>
      <c r="D17" s="9"/>
    </row>
    <row r="18" customFormat="false" ht="15" hidden="false" customHeight="false" outlineLevel="0" collapsed="false">
      <c r="A18" s="6" t="s">
        <v>151</v>
      </c>
      <c r="B18" s="35" t="n">
        <f aca="false">Assumptions!B13</f>
        <v>0</v>
      </c>
      <c r="D18" s="9" t="s">
        <v>152</v>
      </c>
    </row>
    <row r="19" customFormat="false" ht="15" hidden="false" customHeight="false" outlineLevel="0" collapsed="false">
      <c r="A19" s="6" t="s">
        <v>153</v>
      </c>
      <c r="B19" s="7" t="n">
        <v>50</v>
      </c>
      <c r="D19" s="9" t="s">
        <v>154</v>
      </c>
    </row>
    <row r="20" customFormat="false" ht="15" hidden="false" customHeight="false" outlineLevel="0" collapsed="false">
      <c r="A20" s="6" t="s">
        <v>155</v>
      </c>
      <c r="B20" s="35" t="n">
        <f aca="false">B19*$B$5</f>
        <v>1491.75</v>
      </c>
      <c r="D20" s="9" t="s">
        <v>156</v>
      </c>
    </row>
    <row r="21" customFormat="false" ht="15" hidden="false" customHeight="false" outlineLevel="0" collapsed="false">
      <c r="A21" s="6" t="s">
        <v>157</v>
      </c>
      <c r="B21" s="35" t="n">
        <f aca="false">500*2</f>
        <v>1000</v>
      </c>
      <c r="D21" s="9" t="s">
        <v>158</v>
      </c>
    </row>
    <row r="22" customFormat="false" ht="15" hidden="false" customHeight="false" outlineLevel="0" collapsed="false">
      <c r="A22" s="6" t="s">
        <v>159</v>
      </c>
      <c r="B22" s="36" t="n">
        <f aca="false">(B18-B20)/B20</f>
        <v>-1</v>
      </c>
      <c r="D22" s="9" t="s">
        <v>160</v>
      </c>
    </row>
    <row r="23" customFormat="false" ht="15" hidden="false" customHeight="false" outlineLevel="0" collapsed="false">
      <c r="A23" s="6" t="s">
        <v>161</v>
      </c>
      <c r="B23" s="36" t="n">
        <f aca="false">(B18-B21)/B21</f>
        <v>-1</v>
      </c>
      <c r="D23" s="9" t="s">
        <v>162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2026-03-19T22:25:32Z</dcterms:created>
  <dc:creator>openpyxl</dc:creator>
  <dc:description/>
  <dc:language>en-US</dc:language>
  <cp:lastModifiedBy/>
  <dcterms:modified xsi:type="dcterms:W3CDTF">2026-03-19T22:25:32Z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